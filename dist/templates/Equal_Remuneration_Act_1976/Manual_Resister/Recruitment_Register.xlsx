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ruitment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<sst xmlns="http://schemas.openxmlformats.org/spreadsheetml/2006/main" count="211" uniqueCount="123">
  <si>
    <t xml:space="preserve">RECRUITMENT REGISTER</t>
  </si>
  <si>
    <t xml:space="preserve">Equal Remuneration Act, 1976 / Code on Wages, 2019 – Non-Discrimination in Recruitment | Section 5</t>
  </si>
  <si>
    <t xml:space="preserve">Establishment Name: </t>
  </si>
  <si>
    <t xml:space="preserve">Register No.: RR-001</t>
  </si>
  <si>
    <t xml:space="preserve">Period: </t>
  </si>
  <si>
    <t xml:space="preserve">Prepared By: </t>
  </si>
  <si>
    <t xml:space="preserve">Verified By: </t>
  </si>
  <si>
    <t xml:space="preserve">Sl.
No.</t>
  </si>
  <si>
    <t xml:space="preserve">Applicant
Name</t>
  </si>
  <si>
    <t xml:space="preserve">Application
Date</t>
  </si>
  <si>
    <t xml:space="preserve">Post Applied
For</t>
  </si>
  <si>
    <t xml:space="preserve">Department</t>
  </si>
  <si>
    <t xml:space="preserve">Gender
(M/F/O)</t>
  </si>
  <si>
    <t xml:space="preserve">Category
(SC/ST/OBC/GEN)</t>
  </si>
  <si>
    <t xml:space="preserve">Interview
Date</t>
  </si>
  <si>
    <t xml:space="preserve">Interview
Score</t>
  </si>
  <si>
    <t xml:space="preserve">Selection
Status</t>
  </si>
  <si>
    <t xml:space="preserve">Date of
Offer</t>
  </si>
  <si>
    <t xml:space="preserve">Date of
Joining</t>
  </si>
  <si>
    <t xml:space="preserve">Employee
Code</t>
  </si>
  <si>
    <t xml:space="preserve">Salary
Offered (₹)</t>
  </si>
  <si>
    <t xml:space="preserve">Selection
Basis</t>
  </si>
  <si>
    <t xml:space="preserve">Remarks</t>
  </si>
  <si>
    <t xml:space="preserve">Rohini Verma</t>
  </si>
  <si>
    <t xml:space="preserve">03-Jan-2024</t>
  </si>
  <si>
    <t xml:space="preserve">Junior Engineer</t>
  </si>
  <si>
    <t xml:space="preserve">Engineering</t>
  </si>
  <si>
    <t xml:space="preserve">F</t>
  </si>
  <si>
    <t xml:space="preserve">GEN</t>
  </si>
  <si>
    <t xml:space="preserve">15-Jan-2024</t>
  </si>
  <si>
    <t xml:space="preserve">Selected</t>
  </si>
  <si>
    <t xml:space="preserve">20-Jan-2024</t>
  </si>
  <si>
    <t xml:space="preserve">01-Feb-2024</t>
  </si>
  <si>
    <t xml:space="preserve">EMP016</t>
  </si>
  <si>
    <t xml:space="preserve">Merit</t>
  </si>
  <si>
    <t xml:space="preserve">Arun Kumar</t>
  </si>
  <si>
    <t xml:space="preserve">04-Jan-2024</t>
  </si>
  <si>
    <t xml:space="preserve">M</t>
  </si>
  <si>
    <t xml:space="preserve">OBC</t>
  </si>
  <si>
    <t xml:space="preserve">EMP017</t>
  </si>
  <si>
    <t xml:space="preserve">Shalini Mishra</t>
  </si>
  <si>
    <t xml:space="preserve">05-Jan-2024</t>
  </si>
  <si>
    <t xml:space="preserve">Sr. Analyst</t>
  </si>
  <si>
    <t xml:space="preserve">Finance</t>
  </si>
  <si>
    <t xml:space="preserve">SC</t>
  </si>
  <si>
    <t xml:space="preserve">16-Jan-2024</t>
  </si>
  <si>
    <t xml:space="preserve">22-Jan-2024</t>
  </si>
  <si>
    <t xml:space="preserve">05-Feb-2024</t>
  </si>
  <si>
    <t xml:space="preserve">EMP018</t>
  </si>
  <si>
    <t xml:space="preserve">Deepak Tiwari</t>
  </si>
  <si>
    <t xml:space="preserve">06-Jan-2024</t>
  </si>
  <si>
    <t xml:space="preserve">EMP019</t>
  </si>
  <si>
    <t xml:space="preserve">Nisha Reddy</t>
  </si>
  <si>
    <t xml:space="preserve">07-Jan-2024</t>
  </si>
  <si>
    <t xml:space="preserve">Manager</t>
  </si>
  <si>
    <t xml:space="preserve">HR</t>
  </si>
  <si>
    <t xml:space="preserve">17-Jan-2024</t>
  </si>
  <si>
    <t xml:space="preserve">24-Jan-2024</t>
  </si>
  <si>
    <t xml:space="preserve">10-Feb-2024</t>
  </si>
  <si>
    <t xml:space="preserve">EMP020</t>
  </si>
  <si>
    <t xml:space="preserve">Kiran Bhat</t>
  </si>
  <si>
    <t xml:space="preserve">08-Jan-2024</t>
  </si>
  <si>
    <t xml:space="preserve">ST</t>
  </si>
  <si>
    <t xml:space="preserve">Not Selected</t>
  </si>
  <si>
    <t xml:space="preserve">Pooja Chauhan</t>
  </si>
  <si>
    <t xml:space="preserve">09-Jan-2024</t>
  </si>
  <si>
    <t xml:space="preserve">Asst. Manager</t>
  </si>
  <si>
    <t xml:space="preserve">Operations</t>
  </si>
  <si>
    <t xml:space="preserve">18-Jan-2024</t>
  </si>
  <si>
    <t xml:space="preserve">25-Jan-2024</t>
  </si>
  <si>
    <t xml:space="preserve">12-Feb-2024</t>
  </si>
  <si>
    <t xml:space="preserve">EMP021</t>
  </si>
  <si>
    <t xml:space="preserve">Ramesh Yadav</t>
  </si>
  <si>
    <t xml:space="preserve">10-Jan-2024</t>
  </si>
  <si>
    <t xml:space="preserve">EMP022</t>
  </si>
  <si>
    <t xml:space="preserve">Sneha Patil</t>
  </si>
  <si>
    <t xml:space="preserve">11-Jan-2024</t>
  </si>
  <si>
    <t xml:space="preserve">Executive</t>
  </si>
  <si>
    <t xml:space="preserve">IT</t>
  </si>
  <si>
    <t xml:space="preserve">19-Jan-2024</t>
  </si>
  <si>
    <t xml:space="preserve">Score &lt; Cutoff</t>
  </si>
  <si>
    <t xml:space="preserve">Vikas Rathi</t>
  </si>
  <si>
    <t xml:space="preserve">12-Jan-2024</t>
  </si>
  <si>
    <t xml:space="preserve">26-Jan-2024</t>
  </si>
  <si>
    <t xml:space="preserve">14-Feb-2024</t>
  </si>
  <si>
    <t xml:space="preserve">EMP023</t>
  </si>
  <si>
    <t xml:space="preserve">Anita Singh</t>
  </si>
  <si>
    <t xml:space="preserve">13-Jan-2024</t>
  </si>
  <si>
    <t xml:space="preserve">Supervisor</t>
  </si>
  <si>
    <t xml:space="preserve">Production</t>
  </si>
  <si>
    <t xml:space="preserve">28-Jan-2024</t>
  </si>
  <si>
    <t xml:space="preserve">15-Feb-2024</t>
  </si>
  <si>
    <t xml:space="preserve">EMP024</t>
  </si>
  <si>
    <t xml:space="preserve">Manish Gupta</t>
  </si>
  <si>
    <t xml:space="preserve">14-Jan-2024</t>
  </si>
  <si>
    <t xml:space="preserve">EMP025</t>
  </si>
  <si>
    <t xml:space="preserve">Radha Krishnan</t>
  </si>
  <si>
    <t xml:space="preserve">Clerk</t>
  </si>
  <si>
    <t xml:space="preserve">Admin</t>
  </si>
  <si>
    <t xml:space="preserve">30-Jan-2024</t>
  </si>
  <si>
    <t xml:space="preserve">18-Feb-2024</t>
  </si>
  <si>
    <t xml:space="preserve">EMP026</t>
  </si>
  <si>
    <t xml:space="preserve">Sanjay Dubey</t>
  </si>
  <si>
    <t xml:space="preserve">Parvathi Nair</t>
  </si>
  <si>
    <t xml:space="preserve">Officer</t>
  </si>
  <si>
    <t xml:space="preserve">Legal</t>
  </si>
  <si>
    <t xml:space="preserve">23-Jan-2024</t>
  </si>
  <si>
    <t xml:space="preserve">31-Jan-2024</t>
  </si>
  <si>
    <t xml:space="preserve">20-Feb-2024</t>
  </si>
  <si>
    <t xml:space="preserve">EMP027</t>
  </si>
  <si>
    <t xml:space="preserve">RECRUITMENT STATISTICS – GENDER &amp; CATEGORY DIVERSITY</t>
  </si>
  <si>
    <t xml:space="preserve">Metric</t>
  </si>
  <si>
    <t xml:space="preserve">Male</t>
  </si>
  <si>
    <t xml:space="preserve">Female</t>
  </si>
  <si>
    <t xml:space="preserve">Other</t>
  </si>
  <si>
    <t xml:space="preserve">Total</t>
  </si>
  <si>
    <t xml:space="preserve">% Female</t>
  </si>
  <si>
    <t xml:space="preserve">Compliance Note</t>
  </si>
  <si>
    <t xml:space="preserve">Applications Received</t>
  </si>
  <si>
    <t xml:space="preserve">Interviews Conducted</t>
  </si>
  <si>
    <t xml:space="preserve">0</t>
  </si>
  <si>
    <t xml:space="preserve">Target ≥ 33%</t>
  </si>
  <si>
    <t xml:space="preserve">Certified that recruitment is carried out without discrimination on grounds of sex as required under Section 5 of the Equal Remuneration Act, 1976 / Code on Wages, 2019.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</si>
</sst>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8"/>
      <color rgb="FF1F1F1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DEEAF1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3"/>
      <c r="C3" s="3"/>
      <c r="D3" s="3" t="s">
        <v>3</v>
      </c>
      <c r="E3" s="3"/>
      <c r="F3" s="3"/>
      <c r="G3" s="3" t="s">
        <v>4</v>
      </c>
      <c r="H3" s="3"/>
      <c r="I3" s="3"/>
      <c r="J3" s="3" t="s">
        <v>5</v>
      </c>
      <c r="K3" s="3"/>
      <c r="L3" s="3"/>
      <c r="M3" s="3" t="s">
        <v>6</v>
      </c>
      <c r="N3" s="3"/>
      <c r="O3" s="3"/>
    </row>
    <row r="4" customFormat="false" ht="45" hidden="false" customHeight="tru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</row>
    <row r="5" customFormat="false" ht="18" hidden="false" customHeight="true" outlineLevel="0" collapsed="false">
      <c r="A5" s="5" t="n">
        <v>1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n">
        <v>82</v>
      </c>
      <c r="J5" s="6" t="s">
        <v>30</v>
      </c>
      <c r="K5" s="5" t="s">
        <v>31</v>
      </c>
      <c r="L5" s="5" t="s">
        <v>32</v>
      </c>
      <c r="M5" s="5" t="s">
        <v>33</v>
      </c>
      <c r="N5" s="7" t="n">
        <v>28000</v>
      </c>
      <c r="O5" s="5" t="s">
        <v>34</v>
      </c>
      <c r="P5" s="5"/>
    </row>
    <row r="6" customFormat="false" ht="18" hidden="false" customHeight="true" outlineLevel="0" collapsed="false">
      <c r="A6" s="8" t="n">
        <v>2</v>
      </c>
      <c r="B6" s="8" t="s">
        <v>35</v>
      </c>
      <c r="C6" s="8" t="s">
        <v>36</v>
      </c>
      <c r="D6" s="8" t="s">
        <v>25</v>
      </c>
      <c r="E6" s="8" t="s">
        <v>26</v>
      </c>
      <c r="F6" s="8" t="s">
        <v>37</v>
      </c>
      <c r="G6" s="8" t="s">
        <v>38</v>
      </c>
      <c r="H6" s="8" t="s">
        <v>29</v>
      </c>
      <c r="I6" s="8" t="n">
        <v>79</v>
      </c>
      <c r="J6" s="9" t="s">
        <v>30</v>
      </c>
      <c r="K6" s="8" t="s">
        <v>31</v>
      </c>
      <c r="L6" s="8" t="s">
        <v>32</v>
      </c>
      <c r="M6" s="8" t="s">
        <v>39</v>
      </c>
      <c r="N6" s="10" t="n">
        <v>28000</v>
      </c>
      <c r="O6" s="8" t="s">
        <v>34</v>
      </c>
      <c r="P6" s="8"/>
    </row>
    <row r="7" customFormat="false" ht="18" hidden="false" customHeight="true" outlineLevel="0" collapsed="false">
      <c r="A7" s="5" t="n">
        <v>3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27</v>
      </c>
      <c r="G7" s="5" t="s">
        <v>44</v>
      </c>
      <c r="H7" s="5" t="s">
        <v>45</v>
      </c>
      <c r="I7" s="5" t="n">
        <v>88</v>
      </c>
      <c r="J7" s="6" t="s">
        <v>30</v>
      </c>
      <c r="K7" s="5" t="s">
        <v>46</v>
      </c>
      <c r="L7" s="5" t="s">
        <v>47</v>
      </c>
      <c r="M7" s="5" t="s">
        <v>48</v>
      </c>
      <c r="N7" s="7" t="n">
        <v>42000</v>
      </c>
      <c r="O7" s="5" t="s">
        <v>34</v>
      </c>
      <c r="P7" s="5"/>
    </row>
    <row r="8" customFormat="false" ht="18" hidden="false" customHeight="true" outlineLevel="0" collapsed="false">
      <c r="A8" s="8" t="n">
        <v>4</v>
      </c>
      <c r="B8" s="8" t="s">
        <v>49</v>
      </c>
      <c r="C8" s="8" t="s">
        <v>50</v>
      </c>
      <c r="D8" s="8" t="s">
        <v>42</v>
      </c>
      <c r="E8" s="8" t="s">
        <v>43</v>
      </c>
      <c r="F8" s="8" t="s">
        <v>37</v>
      </c>
      <c r="G8" s="8" t="s">
        <v>28</v>
      </c>
      <c r="H8" s="8" t="s">
        <v>45</v>
      </c>
      <c r="I8" s="8" t="n">
        <v>85</v>
      </c>
      <c r="J8" s="9" t="s">
        <v>30</v>
      </c>
      <c r="K8" s="8" t="s">
        <v>46</v>
      </c>
      <c r="L8" s="8" t="s">
        <v>47</v>
      </c>
      <c r="M8" s="8" t="s">
        <v>51</v>
      </c>
      <c r="N8" s="10" t="n">
        <v>42000</v>
      </c>
      <c r="O8" s="8" t="s">
        <v>34</v>
      </c>
      <c r="P8" s="8"/>
    </row>
    <row r="9" customFormat="false" ht="18" hidden="false" customHeight="true" outlineLevel="0" collapsed="false">
      <c r="A9" s="5" t="n">
        <v>5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27</v>
      </c>
      <c r="G9" s="5" t="s">
        <v>28</v>
      </c>
      <c r="H9" s="5" t="s">
        <v>56</v>
      </c>
      <c r="I9" s="5" t="n">
        <v>91</v>
      </c>
      <c r="J9" s="6" t="s">
        <v>30</v>
      </c>
      <c r="K9" s="5" t="s">
        <v>57</v>
      </c>
      <c r="L9" s="5" t="s">
        <v>58</v>
      </c>
      <c r="M9" s="5" t="s">
        <v>59</v>
      </c>
      <c r="N9" s="7" t="n">
        <v>65000</v>
      </c>
      <c r="O9" s="5" t="s">
        <v>34</v>
      </c>
      <c r="P9" s="5"/>
    </row>
    <row r="10" customFormat="false" ht="18" hidden="false" customHeight="true" outlineLevel="0" collapsed="false">
      <c r="A10" s="8" t="n">
        <v>6</v>
      </c>
      <c r="B10" s="8" t="s">
        <v>60</v>
      </c>
      <c r="C10" s="8" t="s">
        <v>61</v>
      </c>
      <c r="D10" s="8" t="s">
        <v>54</v>
      </c>
      <c r="E10" s="8" t="s">
        <v>55</v>
      </c>
      <c r="F10" s="8" t="s">
        <v>37</v>
      </c>
      <c r="G10" s="8" t="s">
        <v>62</v>
      </c>
      <c r="H10" s="8" t="s">
        <v>56</v>
      </c>
      <c r="I10" s="8" t="n">
        <v>87</v>
      </c>
      <c r="J10" s="11" t="s">
        <v>63</v>
      </c>
      <c r="K10" s="8"/>
      <c r="L10" s="8"/>
      <c r="M10" s="8"/>
      <c r="N10" s="8"/>
      <c r="O10" s="8" t="s">
        <v>34</v>
      </c>
      <c r="P10" s="8"/>
    </row>
    <row r="11" customFormat="false" ht="18" hidden="false" customHeight="true" outlineLevel="0" collapsed="false">
      <c r="A11" s="5" t="n">
        <v>7</v>
      </c>
      <c r="B11" s="5" t="s">
        <v>64</v>
      </c>
      <c r="C11" s="5" t="s">
        <v>65</v>
      </c>
      <c r="D11" s="5" t="s">
        <v>66</v>
      </c>
      <c r="E11" s="5" t="s">
        <v>67</v>
      </c>
      <c r="F11" s="5" t="s">
        <v>27</v>
      </c>
      <c r="G11" s="5" t="s">
        <v>38</v>
      </c>
      <c r="H11" s="5" t="s">
        <v>68</v>
      </c>
      <c r="I11" s="5" t="n">
        <v>84</v>
      </c>
      <c r="J11" s="6" t="s">
        <v>30</v>
      </c>
      <c r="K11" s="5" t="s">
        <v>69</v>
      </c>
      <c r="L11" s="5" t="s">
        <v>70</v>
      </c>
      <c r="M11" s="5" t="s">
        <v>71</v>
      </c>
      <c r="N11" s="7" t="n">
        <v>48000</v>
      </c>
      <c r="O11" s="5" t="s">
        <v>34</v>
      </c>
      <c r="P11" s="5"/>
    </row>
    <row r="12" customFormat="false" ht="18" hidden="false" customHeight="true" outlineLevel="0" collapsed="false">
      <c r="A12" s="8" t="n">
        <v>8</v>
      </c>
      <c r="B12" s="8" t="s">
        <v>72</v>
      </c>
      <c r="C12" s="8" t="s">
        <v>73</v>
      </c>
      <c r="D12" s="8" t="s">
        <v>66</v>
      </c>
      <c r="E12" s="8" t="s">
        <v>67</v>
      </c>
      <c r="F12" s="8" t="s">
        <v>37</v>
      </c>
      <c r="G12" s="8" t="s">
        <v>44</v>
      </c>
      <c r="H12" s="8" t="s">
        <v>68</v>
      </c>
      <c r="I12" s="8" t="n">
        <v>80</v>
      </c>
      <c r="J12" s="9" t="s">
        <v>30</v>
      </c>
      <c r="K12" s="8" t="s">
        <v>69</v>
      </c>
      <c r="L12" s="8" t="s">
        <v>70</v>
      </c>
      <c r="M12" s="8" t="s">
        <v>74</v>
      </c>
      <c r="N12" s="10" t="n">
        <v>48000</v>
      </c>
      <c r="O12" s="8" t="s">
        <v>34</v>
      </c>
      <c r="P12" s="8"/>
    </row>
    <row r="13" customFormat="false" ht="18" hidden="false" customHeight="true" outlineLevel="0" collapsed="false">
      <c r="A13" s="5" t="n">
        <v>9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27</v>
      </c>
      <c r="G13" s="5" t="s">
        <v>28</v>
      </c>
      <c r="H13" s="5" t="s">
        <v>79</v>
      </c>
      <c r="I13" s="5" t="n">
        <v>75</v>
      </c>
      <c r="J13" s="12" t="s">
        <v>63</v>
      </c>
      <c r="K13" s="5"/>
      <c r="L13" s="5"/>
      <c r="M13" s="5"/>
      <c r="N13" s="5"/>
      <c r="O13" s="5" t="s">
        <v>34</v>
      </c>
      <c r="P13" s="5" t="s">
        <v>80</v>
      </c>
    </row>
    <row r="14" customFormat="false" ht="18" hidden="false" customHeight="true" outlineLevel="0" collapsed="false">
      <c r="A14" s="8" t="n">
        <v>10</v>
      </c>
      <c r="B14" s="8" t="s">
        <v>81</v>
      </c>
      <c r="C14" s="8" t="s">
        <v>82</v>
      </c>
      <c r="D14" s="8" t="s">
        <v>77</v>
      </c>
      <c r="E14" s="8" t="s">
        <v>78</v>
      </c>
      <c r="F14" s="8" t="s">
        <v>37</v>
      </c>
      <c r="G14" s="8" t="s">
        <v>28</v>
      </c>
      <c r="H14" s="8" t="s">
        <v>79</v>
      </c>
      <c r="I14" s="8" t="n">
        <v>78</v>
      </c>
      <c r="J14" s="9" t="s">
        <v>30</v>
      </c>
      <c r="K14" s="8" t="s">
        <v>83</v>
      </c>
      <c r="L14" s="8" t="s">
        <v>84</v>
      </c>
      <c r="M14" s="8" t="s">
        <v>85</v>
      </c>
      <c r="N14" s="10" t="n">
        <v>32000</v>
      </c>
      <c r="O14" s="8" t="s">
        <v>34</v>
      </c>
      <c r="P14" s="8"/>
    </row>
    <row r="15" customFormat="false" ht="18" hidden="false" customHeight="true" outlineLevel="0" collapsed="false">
      <c r="A15" s="5" t="n">
        <v>11</v>
      </c>
      <c r="B15" s="5" t="s">
        <v>86</v>
      </c>
      <c r="C15" s="5" t="s">
        <v>87</v>
      </c>
      <c r="D15" s="5" t="s">
        <v>88</v>
      </c>
      <c r="E15" s="5" t="s">
        <v>89</v>
      </c>
      <c r="F15" s="5" t="s">
        <v>27</v>
      </c>
      <c r="G15" s="5" t="s">
        <v>38</v>
      </c>
      <c r="H15" s="5" t="s">
        <v>31</v>
      </c>
      <c r="I15" s="5" t="n">
        <v>83</v>
      </c>
      <c r="J15" s="6" t="s">
        <v>30</v>
      </c>
      <c r="K15" s="5" t="s">
        <v>90</v>
      </c>
      <c r="L15" s="5" t="s">
        <v>91</v>
      </c>
      <c r="M15" s="5" t="s">
        <v>92</v>
      </c>
      <c r="N15" s="7" t="n">
        <v>38000</v>
      </c>
      <c r="O15" s="5" t="s">
        <v>34</v>
      </c>
      <c r="P15" s="5"/>
    </row>
    <row r="16" customFormat="false" ht="18" hidden="false" customHeight="true" outlineLevel="0" collapsed="false">
      <c r="A16" s="8" t="n">
        <v>12</v>
      </c>
      <c r="B16" s="8" t="s">
        <v>93</v>
      </c>
      <c r="C16" s="8" t="s">
        <v>94</v>
      </c>
      <c r="D16" s="8" t="s">
        <v>88</v>
      </c>
      <c r="E16" s="8" t="s">
        <v>89</v>
      </c>
      <c r="F16" s="8" t="s">
        <v>37</v>
      </c>
      <c r="G16" s="8" t="s">
        <v>28</v>
      </c>
      <c r="H16" s="8" t="s">
        <v>31</v>
      </c>
      <c r="I16" s="8" t="n">
        <v>81</v>
      </c>
      <c r="J16" s="9" t="s">
        <v>30</v>
      </c>
      <c r="K16" s="8" t="s">
        <v>90</v>
      </c>
      <c r="L16" s="8" t="s">
        <v>91</v>
      </c>
      <c r="M16" s="8" t="s">
        <v>95</v>
      </c>
      <c r="N16" s="10" t="n">
        <v>38000</v>
      </c>
      <c r="O16" s="8" t="s">
        <v>34</v>
      </c>
      <c r="P16" s="8"/>
    </row>
    <row r="17" customFormat="false" ht="18" hidden="false" customHeight="true" outlineLevel="0" collapsed="false">
      <c r="A17" s="5" t="n">
        <v>13</v>
      </c>
      <c r="B17" s="5" t="s">
        <v>96</v>
      </c>
      <c r="C17" s="5" t="s">
        <v>29</v>
      </c>
      <c r="D17" s="5" t="s">
        <v>97</v>
      </c>
      <c r="E17" s="5" t="s">
        <v>98</v>
      </c>
      <c r="F17" s="5" t="s">
        <v>27</v>
      </c>
      <c r="G17" s="5" t="s">
        <v>44</v>
      </c>
      <c r="H17" s="5" t="s">
        <v>46</v>
      </c>
      <c r="I17" s="5" t="n">
        <v>72</v>
      </c>
      <c r="J17" s="6" t="s">
        <v>30</v>
      </c>
      <c r="K17" s="5" t="s">
        <v>99</v>
      </c>
      <c r="L17" s="5" t="s">
        <v>100</v>
      </c>
      <c r="M17" s="5" t="s">
        <v>101</v>
      </c>
      <c r="N17" s="7" t="n">
        <v>22000</v>
      </c>
      <c r="O17" s="5" t="s">
        <v>34</v>
      </c>
      <c r="P17" s="5"/>
    </row>
    <row r="18" customFormat="false" ht="18" hidden="false" customHeight="true" outlineLevel="0" collapsed="false">
      <c r="A18" s="8" t="n">
        <v>14</v>
      </c>
      <c r="B18" s="8" t="s">
        <v>102</v>
      </c>
      <c r="C18" s="8" t="s">
        <v>45</v>
      </c>
      <c r="D18" s="8" t="s">
        <v>97</v>
      </c>
      <c r="E18" s="8" t="s">
        <v>98</v>
      </c>
      <c r="F18" s="8" t="s">
        <v>37</v>
      </c>
      <c r="G18" s="8" t="s">
        <v>28</v>
      </c>
      <c r="H18" s="8" t="s">
        <v>46</v>
      </c>
      <c r="I18" s="8" t="n">
        <v>69</v>
      </c>
      <c r="J18" s="11" t="s">
        <v>63</v>
      </c>
      <c r="K18" s="8"/>
      <c r="L18" s="8"/>
      <c r="M18" s="8"/>
      <c r="N18" s="8"/>
      <c r="O18" s="8" t="s">
        <v>34</v>
      </c>
      <c r="P18" s="8" t="s">
        <v>80</v>
      </c>
    </row>
    <row r="19" customFormat="false" ht="18" hidden="false" customHeight="true" outlineLevel="0" collapsed="false">
      <c r="A19" s="5" t="n">
        <v>15</v>
      </c>
      <c r="B19" s="5" t="s">
        <v>103</v>
      </c>
      <c r="C19" s="5" t="s">
        <v>56</v>
      </c>
      <c r="D19" s="5" t="s">
        <v>104</v>
      </c>
      <c r="E19" s="5" t="s">
        <v>105</v>
      </c>
      <c r="F19" s="5" t="s">
        <v>27</v>
      </c>
      <c r="G19" s="5" t="s">
        <v>28</v>
      </c>
      <c r="H19" s="5" t="s">
        <v>106</v>
      </c>
      <c r="I19" s="5" t="n">
        <v>90</v>
      </c>
      <c r="J19" s="6" t="s">
        <v>30</v>
      </c>
      <c r="K19" s="5" t="s">
        <v>107</v>
      </c>
      <c r="L19" s="5" t="s">
        <v>108</v>
      </c>
      <c r="M19" s="5" t="s">
        <v>109</v>
      </c>
      <c r="N19" s="7" t="n">
        <v>55000</v>
      </c>
      <c r="O19" s="5" t="s">
        <v>34</v>
      </c>
      <c r="P19" s="5"/>
    </row>
    <row r="21" customFormat="false" ht="19.5" hidden="false" customHeight="true" outlineLevel="0" collapsed="false">
      <c r="A21" s="13" t="s">
        <v>110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customFormat="false" ht="34.5" hidden="false" customHeight="true" outlineLevel="0" collapsed="false">
      <c r="A22" s="14" t="s">
        <v>111</v>
      </c>
      <c r="B22" s="14" t="s">
        <v>112</v>
      </c>
      <c r="C22" s="14" t="s">
        <v>113</v>
      </c>
      <c r="D22" s="14" t="s">
        <v>114</v>
      </c>
      <c r="E22" s="14" t="s">
        <v>115</v>
      </c>
      <c r="F22" s="14" t="s">
        <v>116</v>
      </c>
      <c r="G22" s="14" t="s">
        <v>117</v>
      </c>
    </row>
    <row r="23" customFormat="false" ht="18" hidden="false" customHeight="true" outlineLevel="0" collapsed="false">
      <c r="A23" s="15" t="s">
        <v>118</v>
      </c>
      <c r="B23" s="15" t="n">
        <f aca="false">COUNTIF(F5:F19,"M")</f>
        <v>7</v>
      </c>
      <c r="C23" s="15" t="n">
        <f aca="false">COUNTIF(F5:F19,"F")</f>
        <v>8</v>
      </c>
      <c r="D23" s="15" t="n">
        <f aca="false">COUNTIF(F5:F19,"O")</f>
        <v>0</v>
      </c>
      <c r="E23" s="15" t="n">
        <f aca="false">B23+C23+D23</f>
        <v>15</v>
      </c>
      <c r="F23" s="16" t="n">
        <f aca="false">IF(E23&gt;0,C23/E23,0)</f>
        <v>0.533333333333333</v>
      </c>
      <c r="G23" s="15"/>
    </row>
    <row r="24" customFormat="false" ht="18" hidden="false" customHeight="true" outlineLevel="0" collapsed="false">
      <c r="A24" s="8" t="s">
        <v>119</v>
      </c>
      <c r="B24" s="8" t="n">
        <f aca="false">COUNTIFS(F5:F19,"M",J5:J19,"&lt;&gt;")</f>
        <v>7</v>
      </c>
      <c r="C24" s="8" t="n">
        <f aca="false">COUNTIFS(F5:F19,"F",J5:J19,"&lt;&gt;")</f>
        <v>8</v>
      </c>
      <c r="D24" s="8" t="s">
        <v>120</v>
      </c>
      <c r="E24" s="8" t="n">
        <f aca="false">B24+C24+D24</f>
        <v>15</v>
      </c>
      <c r="F24" s="17" t="n">
        <f aca="false">IF(E24&gt;0,C24/E24,0)</f>
        <v>0.533333333333333</v>
      </c>
      <c r="G24" s="8"/>
    </row>
    <row r="25" customFormat="false" ht="18" hidden="false" customHeight="true" outlineLevel="0" collapsed="false">
      <c r="A25" s="15" t="s">
        <v>30</v>
      </c>
      <c r="B25" s="15" t="n">
        <f aca="false">COUNTIFS(F5:F19,"M",J5:J19,"Selected")</f>
        <v>5</v>
      </c>
      <c r="C25" s="15" t="n">
        <f aca="false">COUNTIFS(F5:F19,"F",J5:J19,"Selected")</f>
        <v>7</v>
      </c>
      <c r="D25" s="15" t="s">
        <v>120</v>
      </c>
      <c r="E25" s="15" t="n">
        <f aca="false">B25+C25+D25</f>
        <v>12</v>
      </c>
      <c r="F25" s="16" t="n">
        <f aca="false">IF(E25&gt;0,C25/E25,0)</f>
        <v>0.583333333333333</v>
      </c>
      <c r="G25" s="15" t="s">
        <v>121</v>
      </c>
    </row>
    <row r="27" customFormat="false" ht="30" hidden="false" customHeight="true" outlineLevel="0" collapsed="false">
      <c r="A27" s="18" t="s">
        <v>122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</sheetData>
  <mergeCells count="9">
    <mergeCell ref="A1:P1"/>
    <mergeCell ref="A2:P2"/>
    <mergeCell ref="A3:C3"/>
    <mergeCell ref="D3:F3"/>
    <mergeCell ref="G3:I3"/>
    <mergeCell ref="J3:L3"/>
    <mergeCell ref="M3:O3"/>
    <mergeCell ref="A21:P21"/>
    <mergeCell ref="A27:P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2026-05-19T19:57:50Z</dcterms:created>
  <dc:creator>openpyxl</dc:creator>
  <dc:description/>
  <dc:language>en-US</dc:language>
  <cp:lastModifiedBy/>
  <dcterms:modified xsi:type="dcterms:W3CDTF">2026-05-19T19:57:50Z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