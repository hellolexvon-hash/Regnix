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Apprentices_Act_1961/"/>
    </mc:Choice>
  </mc:AlternateContent>
  <xr:revisionPtr revIDLastSave="26" documentId="11_D833FFB9426E0EBDFFEAADF541BE1CF7671CD877" xr6:coauthVersionLast="47" xr6:coauthVersionMax="47" xr10:uidLastSave="{A704A781-2B68-4E94-A9D3-998D1C4D0804}"/>
  <bookViews>
    <workbookView xWindow="-120" yWindow="-120" windowWidth="20730" windowHeight="11040" tabRatio="500" xr2:uid="{00000000-000D-0000-FFFF-FFFF00000000}"/>
  </bookViews>
  <sheets>
    <sheet name="Stipend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C25" i="1"/>
  <c r="C24" i="1"/>
  <c r="J21" i="1"/>
  <c r="M20" i="1"/>
  <c r="L20" i="1"/>
  <c r="K20" i="1"/>
  <c r="L19" i="1"/>
  <c r="M19" i="1" s="1"/>
  <c r="K19" i="1"/>
  <c r="L18" i="1"/>
  <c r="K18" i="1"/>
  <c r="M18" i="1" s="1"/>
  <c r="L17" i="1"/>
  <c r="K17" i="1"/>
  <c r="M17" i="1" s="1"/>
  <c r="M16" i="1"/>
  <c r="L16" i="1"/>
  <c r="K16" i="1"/>
  <c r="L15" i="1"/>
  <c r="M15" i="1" s="1"/>
  <c r="K15" i="1"/>
  <c r="L14" i="1"/>
  <c r="K14" i="1"/>
  <c r="M14" i="1" s="1"/>
  <c r="L13" i="1"/>
  <c r="K13" i="1"/>
  <c r="M13" i="1" s="1"/>
  <c r="M12" i="1"/>
  <c r="L12" i="1"/>
  <c r="K12" i="1"/>
  <c r="L11" i="1"/>
  <c r="M11" i="1" s="1"/>
  <c r="K11" i="1"/>
  <c r="L10" i="1"/>
  <c r="K10" i="1"/>
  <c r="M10" i="1" s="1"/>
  <c r="L9" i="1"/>
  <c r="K9" i="1"/>
  <c r="M9" i="1" s="1"/>
  <c r="M8" i="1"/>
  <c r="L8" i="1"/>
  <c r="K8" i="1"/>
  <c r="L7" i="1"/>
  <c r="M7" i="1" s="1"/>
  <c r="K7" i="1"/>
  <c r="L21" i="1"/>
  <c r="K21" i="1"/>
  <c r="M21" i="1" l="1"/>
</calcChain>
</file>

<file path=xl/sharedStrings.xml><?xml version="1.0" encoding="utf-8"?>
<sst xmlns="http://schemas.openxmlformats.org/spreadsheetml/2006/main" count="165" uniqueCount="125">
  <si>
    <t>STIPEND PAYMENT REGISTER – APPRENTICES</t>
  </si>
  <si>
    <t>The Apprentices Act, 1961 – Sections 13 &amp; 14 | Apprenticeship Rules, 1992 – Rule 11 | Form AA-6</t>
  </si>
  <si>
    <t xml:space="preserve">Establishment Name: </t>
  </si>
  <si>
    <t>MONTH: APRIL 2024  |  Minimum Stipend: Trade: ₹7,700 | Technician: ₹8,050 | Graduate: ₹9,000</t>
  </si>
  <si>
    <t>Sl.
No.</t>
  </si>
  <si>
    <t>Apprentice
Name</t>
  </si>
  <si>
    <t>Reg. No.
(NAPS)</t>
  </si>
  <si>
    <t>Trade /
Discipline</t>
  </si>
  <si>
    <t>Type
(Trade/Tech/
Grad)</t>
  </si>
  <si>
    <t>Working
Days in
Month</t>
  </si>
  <si>
    <t>Days
Present</t>
  </si>
  <si>
    <t>Days
Absent</t>
  </si>
  <si>
    <t>Leave
Days</t>
  </si>
  <si>
    <t>Prescribed
Monthly
Stipend (₹)</t>
  </si>
  <si>
    <t>Earned
Stipend (₹)
(Prorated)</t>
  </si>
  <si>
    <t>Deductions
(₹)
(Absence)</t>
  </si>
  <si>
    <t>Net Stipend
Payable (₹)</t>
  </si>
  <si>
    <t>Stipend
Paid Date</t>
  </si>
  <si>
    <t>Payment
Mode
(Cash/Bank/UPI)</t>
  </si>
  <si>
    <t>Bank A/C /
UPI ID</t>
  </si>
  <si>
    <t>Receipt /
UTR No.</t>
  </si>
  <si>
    <t>Remarks</t>
  </si>
  <si>
    <t>Trade</t>
  </si>
  <si>
    <t>30-Apr-2024</t>
  </si>
  <si>
    <t>Bank Transfer</t>
  </si>
  <si>
    <t>Priya Devi Nair</t>
  </si>
  <si>
    <t>NAPS-2024-0002</t>
  </si>
  <si>
    <t>Electronic Mech</t>
  </si>
  <si>
    <t>Tech</t>
  </si>
  <si>
    <t>HDFC – 234567890123</t>
  </si>
  <si>
    <t>UTR202404300002</t>
  </si>
  <si>
    <t>Suresh Yadav</t>
  </si>
  <si>
    <t>NAPS-2024-0003</t>
  </si>
  <si>
    <t>Fitter</t>
  </si>
  <si>
    <t>SBI – 345678901234</t>
  </si>
  <si>
    <t>UTR202404300003</t>
  </si>
  <si>
    <t>Anita Singh Rajput</t>
  </si>
  <si>
    <t>NAPS-2024-0004</t>
  </si>
  <si>
    <t>Maint. Engineer</t>
  </si>
  <si>
    <t>Grad</t>
  </si>
  <si>
    <t>ICICI – 456789012345</t>
  </si>
  <si>
    <t>UTR202404300004</t>
  </si>
  <si>
    <t>Mohammed Irfan</t>
  </si>
  <si>
    <t>NAPS-2024-0005</t>
  </si>
  <si>
    <t>Welder</t>
  </si>
  <si>
    <t>BOB – 567890123456</t>
  </si>
  <si>
    <t>UTR202404300005</t>
  </si>
  <si>
    <t>Lalitha Kumari</t>
  </si>
  <si>
    <t>NAPS-2024-0006</t>
  </si>
  <si>
    <t>Draughtsman(C)</t>
  </si>
  <si>
    <t>SBI – 678901234567</t>
  </si>
  <si>
    <t>UTR202404300006</t>
  </si>
  <si>
    <t>Deepak Patel</t>
  </si>
  <si>
    <t>NAPS-2024-0007</t>
  </si>
  <si>
    <t>Mech MMTM</t>
  </si>
  <si>
    <t>Canara – 789012345678</t>
  </si>
  <si>
    <t>UTR202404300007</t>
  </si>
  <si>
    <t>Kavitha Reddy</t>
  </si>
  <si>
    <t>NAPS-2024-0008</t>
  </si>
  <si>
    <t>Lab Technician</t>
  </si>
  <si>
    <t>HDFC – 890123456789</t>
  </si>
  <si>
    <t>UTR202404300008</t>
  </si>
  <si>
    <t>Vinod Tiwari</t>
  </si>
  <si>
    <t>NAPS-2024-0009</t>
  </si>
  <si>
    <t>Turner</t>
  </si>
  <si>
    <t>SBI – 901234567890</t>
  </si>
  <si>
    <t>UTR202404300009</t>
  </si>
  <si>
    <t>Sunita Verma</t>
  </si>
  <si>
    <t>NAPS-2024-0010</t>
  </si>
  <si>
    <t>COPA</t>
  </si>
  <si>
    <t>UBI – 012345678901</t>
  </si>
  <si>
    <t>UTR202404300010</t>
  </si>
  <si>
    <t>Arun Menon</t>
  </si>
  <si>
    <t>NAPS-2024-0011</t>
  </si>
  <si>
    <t>Civil Engg</t>
  </si>
  <si>
    <t>SBI – 123456789013</t>
  </si>
  <si>
    <t>UTR202404300011</t>
  </si>
  <si>
    <t>Pooja Sharma</t>
  </si>
  <si>
    <t>NAPS-2024-0012</t>
  </si>
  <si>
    <t>Stenographer</t>
  </si>
  <si>
    <t>PNB – 234567890124</t>
  </si>
  <si>
    <t>UTR202404300012</t>
  </si>
  <si>
    <t>Ramesh Babu</t>
  </si>
  <si>
    <t>NAPS-2024-0013</t>
  </si>
  <si>
    <t>BOI – 345678901235</t>
  </si>
  <si>
    <t>UTR202404300013</t>
  </si>
  <si>
    <t>Nisha Joshi</t>
  </si>
  <si>
    <t>NAPS-2024-0014</t>
  </si>
  <si>
    <t>IT Apprentice</t>
  </si>
  <si>
    <t>SBI – 456789012346</t>
  </si>
  <si>
    <t>UTR202404300014</t>
  </si>
  <si>
    <t>Santosh Gupta</t>
  </si>
  <si>
    <t>NAPS-2024-0015</t>
  </si>
  <si>
    <t>Machinist</t>
  </si>
  <si>
    <t>Axis – 567890123457</t>
  </si>
  <si>
    <t>UTR202404300015</t>
  </si>
  <si>
    <t>MONTHLY STIPEND TOTALS</t>
  </si>
  <si>
    <t>STATUTORY MINIMUM STIPEND COMPLIANCE CHECK – 2024</t>
  </si>
  <si>
    <t>Year 1 – Trade Apprentice</t>
  </si>
  <si>
    <t>₹7,700 / month</t>
  </si>
  <si>
    <t>Violations (should be 0)</t>
  </si>
  <si>
    <t>Year 1 – Technician Apprentice</t>
  </si>
  <si>
    <t>₹8,050 / month</t>
  </si>
  <si>
    <t>Year 1 – Graduate Apprentice</t>
  </si>
  <si>
    <t>₹9,000 / month</t>
  </si>
  <si>
    <t>Certified that stipend has been paid to all apprentices as per Sections 13 &amp; 14 of the Apprentices Act, 1961 and not less than the minimum prescribed rates. Payment has been made directly to bank accounts of apprentices.</t>
  </si>
  <si>
    <t>Accounts Officer</t>
  </si>
  <si>
    <t>HR Manager</t>
  </si>
  <si>
    <t>Authorised Signatory</t>
  </si>
  <si>
    <t>A</t>
  </si>
  <si>
    <t>OK</t>
  </si>
  <si>
    <t>AA</t>
  </si>
  <si>
    <t>AU</t>
  </si>
  <si>
    <t>AT</t>
  </si>
  <si>
    <t>IL</t>
  </si>
  <si>
    <t>GR</t>
  </si>
  <si>
    <t>QG</t>
  </si>
  <si>
    <t>GS</t>
  </si>
  <si>
    <t>LM</t>
  </si>
  <si>
    <t>LD</t>
  </si>
  <si>
    <t>LO</t>
  </si>
  <si>
    <t>LP</t>
  </si>
  <si>
    <t>OA</t>
  </si>
  <si>
    <t>Register No.: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</si>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</sst>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1F1F1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9"/>
      <color rgb="FF1F1F1F"/>
      <name val="Arial"/>
      <family val="2"/>
    </font>
    <font>
      <i/>
      <sz val="8"/>
      <color rgb="FF1F1F1F"/>
      <name val="Arial"/>
      <family val="2"/>
    </font>
    <font>
      <sz val="9"/>
      <color rgb="FF40404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052"/>
        <bgColor rgb="FF1F494E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F494E"/>
        <bgColor rgb="FF1A3052"/>
      </patternFill>
    </fill>
    <fill>
      <patternFill patternType="solid">
        <fgColor rgb="FFD9D9D9"/>
        <bgColor rgb="FFDEEAF1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EBF3FB"/>
      </patternFill>
    </fill>
  </fills>
  <borders count="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33300"/>
      <rgbColor rgb="FF993300"/>
      <rgbColor rgb="FF993366"/>
      <rgbColor rgb="FF1F494E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showGridLines="0" tabSelected="1" zoomScaleNormal="100" workbookViewId="0">
      <selection activeCell="A3" sqref="A3:Q3"/>
    </sheetView>
  </sheetViews>
  <sheetFormatPr defaultColWidth="8.7109375" defaultRowHeight="15" x14ac:dyDescent="0.25"/>
  <cols>
    <col min="1" max="1" width="5" customWidth="1"/>
    <col min="2" max="2" width="18" customWidth="1"/>
    <col min="3" max="3" width="14" customWidth="1"/>
    <col min="4" max="4" width="13" customWidth="1"/>
    <col min="5" max="5" width="12" customWidth="1"/>
    <col min="6" max="8" width="10" customWidth="1"/>
    <col min="9" max="9" width="12" customWidth="1"/>
    <col min="10" max="14" width="13" customWidth="1"/>
    <col min="15" max="15" width="14" customWidth="1"/>
    <col min="16" max="16" width="13" customWidth="1"/>
    <col min="17" max="17" width="14" customWidth="1"/>
    <col min="18" max="18" width="16" customWidth="1"/>
  </cols>
  <sheetData>
    <row r="1" spans="1:18" ht="33.7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5.7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8" customHeight="1" x14ac:dyDescent="0.25">
      <c r="A3" s="19" t="s">
        <v>2</v>
      </c>
      <c r="B3" s="19"/>
      <c r="C3" s="19"/>
      <c r="D3" s="21" t="s">
        <v>122</v>
      </c>
      <c r="E3" s="22"/>
      <c r="F3" s="22"/>
      <c r="G3" s="22"/>
      <c r="H3" s="22"/>
      <c r="I3" s="23"/>
      <c r="J3" s="19" t="s">
        <v>123</v>
      </c>
      <c r="K3" s="19"/>
      <c r="L3" s="19"/>
      <c r="M3" s="24" t="s">
        <v>124</v>
      </c>
      <c r="N3" s="25"/>
      <c r="O3" s="25"/>
      <c r="P3" s="25"/>
      <c r="Q3" s="25"/>
    </row>
    <row r="4" spans="1:18" ht="19.5" customHeight="1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42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 ht="19.5" customHeight="1" x14ac:dyDescent="0.25">
      <c r="A6" s="2" t="s">
        <v>109</v>
      </c>
      <c r="B6" s="2" t="s">
        <v>110</v>
      </c>
      <c r="C6" s="2" t="s">
        <v>111</v>
      </c>
      <c r="D6" s="2" t="s">
        <v>112</v>
      </c>
      <c r="E6" s="2" t="s">
        <v>113</v>
      </c>
      <c r="F6" s="20" t="s">
        <v>114</v>
      </c>
      <c r="G6" s="2" t="s">
        <v>116</v>
      </c>
      <c r="H6" s="20" t="s">
        <v>115</v>
      </c>
      <c r="I6" s="2" t="s">
        <v>117</v>
      </c>
      <c r="J6" s="3" t="s">
        <v>119</v>
      </c>
      <c r="K6" s="3" t="s">
        <v>118</v>
      </c>
      <c r="L6" s="3" t="s">
        <v>120</v>
      </c>
      <c r="M6" s="3" t="s">
        <v>121</v>
      </c>
      <c r="N6" s="2"/>
      <c r="O6" s="2"/>
      <c r="P6" s="2"/>
      <c r="Q6" s="2"/>
      <c r="R6" s="2"/>
    </row>
    <row r="7" spans="1:18" ht="19.5" customHeight="1" x14ac:dyDescent="0.25">
      <c r="A7" s="4">
        <v>2</v>
      </c>
      <c r="B7" s="4" t="s">
        <v>25</v>
      </c>
      <c r="C7" s="4" t="s">
        <v>26</v>
      </c>
      <c r="D7" s="4" t="s">
        <v>27</v>
      </c>
      <c r="E7" s="4" t="s">
        <v>28</v>
      </c>
      <c r="F7" s="4">
        <v>26</v>
      </c>
      <c r="G7" s="4">
        <v>26</v>
      </c>
      <c r="H7" s="4">
        <v>0</v>
      </c>
      <c r="I7" s="4">
        <v>0</v>
      </c>
      <c r="J7" s="5">
        <v>9000</v>
      </c>
      <c r="K7" s="5">
        <f t="shared" ref="K7:K20" si="0">ROUND(J7*G7/26,2)</f>
        <v>9000</v>
      </c>
      <c r="L7" s="5">
        <f t="shared" ref="L7:L20" si="1">ROUND(J7*H7/26,2)</f>
        <v>0</v>
      </c>
      <c r="M7" s="5">
        <f t="shared" ref="M7:M20" si="2">K7-L7</f>
        <v>9000</v>
      </c>
      <c r="N7" s="4" t="s">
        <v>23</v>
      </c>
      <c r="O7" s="4" t="s">
        <v>24</v>
      </c>
      <c r="P7" s="4" t="s">
        <v>29</v>
      </c>
      <c r="Q7" s="4" t="s">
        <v>30</v>
      </c>
      <c r="R7" s="4"/>
    </row>
    <row r="8" spans="1:18" ht="19.5" customHeight="1" x14ac:dyDescent="0.25">
      <c r="A8" s="2">
        <v>3</v>
      </c>
      <c r="B8" s="2" t="s">
        <v>31</v>
      </c>
      <c r="C8" s="2" t="s">
        <v>32</v>
      </c>
      <c r="D8" s="2" t="s">
        <v>33</v>
      </c>
      <c r="E8" s="2" t="s">
        <v>22</v>
      </c>
      <c r="F8" s="2">
        <v>26</v>
      </c>
      <c r="G8" s="2">
        <v>24</v>
      </c>
      <c r="H8" s="2">
        <v>2</v>
      </c>
      <c r="I8" s="2">
        <v>0</v>
      </c>
      <c r="J8" s="3">
        <v>7500</v>
      </c>
      <c r="K8" s="3">
        <f t="shared" si="0"/>
        <v>6923.08</v>
      </c>
      <c r="L8" s="3">
        <f t="shared" si="1"/>
        <v>576.91999999999996</v>
      </c>
      <c r="M8" s="3">
        <f t="shared" si="2"/>
        <v>6346.16</v>
      </c>
      <c r="N8" s="2" t="s">
        <v>23</v>
      </c>
      <c r="O8" s="2" t="s">
        <v>24</v>
      </c>
      <c r="P8" s="2" t="s">
        <v>34</v>
      </c>
      <c r="Q8" s="2" t="s">
        <v>35</v>
      </c>
      <c r="R8" s="2"/>
    </row>
    <row r="9" spans="1:18" ht="19.5" customHeight="1" x14ac:dyDescent="0.25">
      <c r="A9" s="4">
        <v>4</v>
      </c>
      <c r="B9" s="4" t="s">
        <v>36</v>
      </c>
      <c r="C9" s="4" t="s">
        <v>37</v>
      </c>
      <c r="D9" s="4" t="s">
        <v>38</v>
      </c>
      <c r="E9" s="4" t="s">
        <v>39</v>
      </c>
      <c r="F9" s="4">
        <v>26</v>
      </c>
      <c r="G9" s="4">
        <v>26</v>
      </c>
      <c r="H9" s="4">
        <v>0</v>
      </c>
      <c r="I9" s="4">
        <v>0</v>
      </c>
      <c r="J9" s="5">
        <v>12000</v>
      </c>
      <c r="K9" s="5">
        <f t="shared" si="0"/>
        <v>12000</v>
      </c>
      <c r="L9" s="5">
        <f t="shared" si="1"/>
        <v>0</v>
      </c>
      <c r="M9" s="5">
        <f t="shared" si="2"/>
        <v>12000</v>
      </c>
      <c r="N9" s="4" t="s">
        <v>23</v>
      </c>
      <c r="O9" s="4" t="s">
        <v>24</v>
      </c>
      <c r="P9" s="4" t="s">
        <v>40</v>
      </c>
      <c r="Q9" s="4" t="s">
        <v>41</v>
      </c>
      <c r="R9" s="4"/>
    </row>
    <row r="10" spans="1:18" ht="19.5" customHeight="1" x14ac:dyDescent="0.25">
      <c r="A10" s="2">
        <v>5</v>
      </c>
      <c r="B10" s="2" t="s">
        <v>42</v>
      </c>
      <c r="C10" s="2" t="s">
        <v>43</v>
      </c>
      <c r="D10" s="2" t="s">
        <v>44</v>
      </c>
      <c r="E10" s="2" t="s">
        <v>22</v>
      </c>
      <c r="F10" s="2">
        <v>26</v>
      </c>
      <c r="G10" s="2">
        <v>25</v>
      </c>
      <c r="H10" s="2">
        <v>1</v>
      </c>
      <c r="I10" s="2">
        <v>0</v>
      </c>
      <c r="J10" s="3">
        <v>7500</v>
      </c>
      <c r="K10" s="3">
        <f t="shared" si="0"/>
        <v>7211.54</v>
      </c>
      <c r="L10" s="3">
        <f t="shared" si="1"/>
        <v>288.45999999999998</v>
      </c>
      <c r="M10" s="3">
        <f t="shared" si="2"/>
        <v>6923.08</v>
      </c>
      <c r="N10" s="2" t="s">
        <v>23</v>
      </c>
      <c r="O10" s="2" t="s">
        <v>24</v>
      </c>
      <c r="P10" s="2" t="s">
        <v>45</v>
      </c>
      <c r="Q10" s="2" t="s">
        <v>46</v>
      </c>
      <c r="R10" s="2"/>
    </row>
    <row r="11" spans="1:18" ht="19.5" customHeight="1" x14ac:dyDescent="0.25">
      <c r="A11" s="4">
        <v>6</v>
      </c>
      <c r="B11" s="4" t="s">
        <v>47</v>
      </c>
      <c r="C11" s="4" t="s">
        <v>48</v>
      </c>
      <c r="D11" s="4" t="s">
        <v>49</v>
      </c>
      <c r="E11" s="4" t="s">
        <v>22</v>
      </c>
      <c r="F11" s="4">
        <v>26</v>
      </c>
      <c r="G11" s="4">
        <v>25</v>
      </c>
      <c r="H11" s="4">
        <v>1</v>
      </c>
      <c r="I11" s="4">
        <v>0</v>
      </c>
      <c r="J11" s="5">
        <v>8000</v>
      </c>
      <c r="K11" s="5">
        <f t="shared" si="0"/>
        <v>7692.31</v>
      </c>
      <c r="L11" s="5">
        <f t="shared" si="1"/>
        <v>307.69</v>
      </c>
      <c r="M11" s="5">
        <f t="shared" si="2"/>
        <v>7384.6200000000008</v>
      </c>
      <c r="N11" s="4" t="s">
        <v>23</v>
      </c>
      <c r="O11" s="4" t="s">
        <v>24</v>
      </c>
      <c r="P11" s="4" t="s">
        <v>50</v>
      </c>
      <c r="Q11" s="4" t="s">
        <v>51</v>
      </c>
      <c r="R11" s="4"/>
    </row>
    <row r="12" spans="1:18" ht="19.5" customHeight="1" x14ac:dyDescent="0.25">
      <c r="A12" s="2">
        <v>7</v>
      </c>
      <c r="B12" s="2" t="s">
        <v>52</v>
      </c>
      <c r="C12" s="2" t="s">
        <v>53</v>
      </c>
      <c r="D12" s="2" t="s">
        <v>54</v>
      </c>
      <c r="E12" s="2" t="s">
        <v>28</v>
      </c>
      <c r="F12" s="2">
        <v>26</v>
      </c>
      <c r="G12" s="2">
        <v>24</v>
      </c>
      <c r="H12" s="2">
        <v>2</v>
      </c>
      <c r="I12" s="2">
        <v>0</v>
      </c>
      <c r="J12" s="3">
        <v>9000</v>
      </c>
      <c r="K12" s="3">
        <f t="shared" si="0"/>
        <v>8307.69</v>
      </c>
      <c r="L12" s="3">
        <f t="shared" si="1"/>
        <v>692.31</v>
      </c>
      <c r="M12" s="3">
        <f t="shared" si="2"/>
        <v>7615.380000000001</v>
      </c>
      <c r="N12" s="2" t="s">
        <v>23</v>
      </c>
      <c r="O12" s="2" t="s">
        <v>24</v>
      </c>
      <c r="P12" s="2" t="s">
        <v>55</v>
      </c>
      <c r="Q12" s="2" t="s">
        <v>56</v>
      </c>
      <c r="R12" s="2"/>
    </row>
    <row r="13" spans="1:18" ht="19.5" customHeight="1" x14ac:dyDescent="0.25">
      <c r="A13" s="4">
        <v>8</v>
      </c>
      <c r="B13" s="4" t="s">
        <v>57</v>
      </c>
      <c r="C13" s="4" t="s">
        <v>58</v>
      </c>
      <c r="D13" s="4" t="s">
        <v>59</v>
      </c>
      <c r="E13" s="4" t="s">
        <v>39</v>
      </c>
      <c r="F13" s="4">
        <v>26</v>
      </c>
      <c r="G13" s="4">
        <v>26</v>
      </c>
      <c r="H13" s="4">
        <v>0</v>
      </c>
      <c r="I13" s="4">
        <v>0</v>
      </c>
      <c r="J13" s="5">
        <v>10000</v>
      </c>
      <c r="K13" s="5">
        <f t="shared" si="0"/>
        <v>10000</v>
      </c>
      <c r="L13" s="5">
        <f t="shared" si="1"/>
        <v>0</v>
      </c>
      <c r="M13" s="5">
        <f t="shared" si="2"/>
        <v>10000</v>
      </c>
      <c r="N13" s="4" t="s">
        <v>23</v>
      </c>
      <c r="O13" s="4" t="s">
        <v>24</v>
      </c>
      <c r="P13" s="4" t="s">
        <v>60</v>
      </c>
      <c r="Q13" s="4" t="s">
        <v>61</v>
      </c>
      <c r="R13" s="4"/>
    </row>
    <row r="14" spans="1:18" ht="19.5" customHeight="1" x14ac:dyDescent="0.25">
      <c r="A14" s="2">
        <v>9</v>
      </c>
      <c r="B14" s="2" t="s">
        <v>62</v>
      </c>
      <c r="C14" s="2" t="s">
        <v>63</v>
      </c>
      <c r="D14" s="2" t="s">
        <v>64</v>
      </c>
      <c r="E14" s="2" t="s">
        <v>22</v>
      </c>
      <c r="F14" s="2">
        <v>26</v>
      </c>
      <c r="G14" s="2">
        <v>23</v>
      </c>
      <c r="H14" s="2">
        <v>3</v>
      </c>
      <c r="I14" s="2">
        <v>0</v>
      </c>
      <c r="J14" s="3">
        <v>7500</v>
      </c>
      <c r="K14" s="3">
        <f t="shared" si="0"/>
        <v>6634.62</v>
      </c>
      <c r="L14" s="3">
        <f t="shared" si="1"/>
        <v>865.38</v>
      </c>
      <c r="M14" s="3">
        <f t="shared" si="2"/>
        <v>5769.24</v>
      </c>
      <c r="N14" s="2" t="s">
        <v>23</v>
      </c>
      <c r="O14" s="2" t="s">
        <v>24</v>
      </c>
      <c r="P14" s="2" t="s">
        <v>65</v>
      </c>
      <c r="Q14" s="2" t="s">
        <v>66</v>
      </c>
      <c r="R14" s="2"/>
    </row>
    <row r="15" spans="1:18" ht="19.5" customHeight="1" x14ac:dyDescent="0.25">
      <c r="A15" s="4">
        <v>10</v>
      </c>
      <c r="B15" s="4" t="s">
        <v>67</v>
      </c>
      <c r="C15" s="4" t="s">
        <v>68</v>
      </c>
      <c r="D15" s="4" t="s">
        <v>69</v>
      </c>
      <c r="E15" s="4" t="s">
        <v>28</v>
      </c>
      <c r="F15" s="4">
        <v>26</v>
      </c>
      <c r="G15" s="4">
        <v>25</v>
      </c>
      <c r="H15" s="4">
        <v>1</v>
      </c>
      <c r="I15" s="4">
        <v>0</v>
      </c>
      <c r="J15" s="5">
        <v>8500</v>
      </c>
      <c r="K15" s="5">
        <f t="shared" si="0"/>
        <v>8173.08</v>
      </c>
      <c r="L15" s="5">
        <f t="shared" si="1"/>
        <v>326.92</v>
      </c>
      <c r="M15" s="5">
        <f t="shared" si="2"/>
        <v>7846.16</v>
      </c>
      <c r="N15" s="4" t="s">
        <v>23</v>
      </c>
      <c r="O15" s="4" t="s">
        <v>24</v>
      </c>
      <c r="P15" s="4" t="s">
        <v>70</v>
      </c>
      <c r="Q15" s="4" t="s">
        <v>71</v>
      </c>
      <c r="R15" s="4"/>
    </row>
    <row r="16" spans="1:18" ht="19.5" customHeight="1" x14ac:dyDescent="0.25">
      <c r="A16" s="2">
        <v>11</v>
      </c>
      <c r="B16" s="2" t="s">
        <v>72</v>
      </c>
      <c r="C16" s="2" t="s">
        <v>73</v>
      </c>
      <c r="D16" s="2" t="s">
        <v>74</v>
      </c>
      <c r="E16" s="2" t="s">
        <v>39</v>
      </c>
      <c r="F16" s="2">
        <v>26</v>
      </c>
      <c r="G16" s="2">
        <v>26</v>
      </c>
      <c r="H16" s="2">
        <v>0</v>
      </c>
      <c r="I16" s="2">
        <v>0</v>
      </c>
      <c r="J16" s="3">
        <v>12000</v>
      </c>
      <c r="K16" s="3">
        <f t="shared" si="0"/>
        <v>12000</v>
      </c>
      <c r="L16" s="3">
        <f t="shared" si="1"/>
        <v>0</v>
      </c>
      <c r="M16" s="3">
        <f t="shared" si="2"/>
        <v>12000</v>
      </c>
      <c r="N16" s="2" t="s">
        <v>23</v>
      </c>
      <c r="O16" s="2" t="s">
        <v>24</v>
      </c>
      <c r="P16" s="2" t="s">
        <v>75</v>
      </c>
      <c r="Q16" s="2" t="s">
        <v>76</v>
      </c>
      <c r="R16" s="2"/>
    </row>
    <row r="17" spans="1:18" ht="19.5" customHeight="1" x14ac:dyDescent="0.25">
      <c r="A17" s="4">
        <v>12</v>
      </c>
      <c r="B17" s="4" t="s">
        <v>77</v>
      </c>
      <c r="C17" s="4" t="s">
        <v>78</v>
      </c>
      <c r="D17" s="4" t="s">
        <v>79</v>
      </c>
      <c r="E17" s="4" t="s">
        <v>22</v>
      </c>
      <c r="F17" s="4">
        <v>26</v>
      </c>
      <c r="G17" s="4">
        <v>24</v>
      </c>
      <c r="H17" s="4">
        <v>2</v>
      </c>
      <c r="I17" s="4">
        <v>0</v>
      </c>
      <c r="J17" s="5">
        <v>7500</v>
      </c>
      <c r="K17" s="5">
        <f t="shared" si="0"/>
        <v>6923.08</v>
      </c>
      <c r="L17" s="5">
        <f t="shared" si="1"/>
        <v>576.91999999999996</v>
      </c>
      <c r="M17" s="5">
        <f t="shared" si="2"/>
        <v>6346.16</v>
      </c>
      <c r="N17" s="4" t="s">
        <v>23</v>
      </c>
      <c r="O17" s="4" t="s">
        <v>24</v>
      </c>
      <c r="P17" s="4" t="s">
        <v>80</v>
      </c>
      <c r="Q17" s="4" t="s">
        <v>81</v>
      </c>
      <c r="R17" s="4"/>
    </row>
    <row r="18" spans="1:18" ht="19.5" customHeight="1" x14ac:dyDescent="0.25">
      <c r="A18" s="2">
        <v>13</v>
      </c>
      <c r="B18" s="2" t="s">
        <v>82</v>
      </c>
      <c r="C18" s="2" t="s">
        <v>83</v>
      </c>
      <c r="D18" s="2" t="s">
        <v>69</v>
      </c>
      <c r="E18" s="2" t="s">
        <v>22</v>
      </c>
      <c r="F18" s="2">
        <v>26</v>
      </c>
      <c r="G18" s="2">
        <v>25</v>
      </c>
      <c r="H18" s="2">
        <v>1</v>
      </c>
      <c r="I18" s="2">
        <v>0</v>
      </c>
      <c r="J18" s="3">
        <v>7500</v>
      </c>
      <c r="K18" s="3">
        <f t="shared" si="0"/>
        <v>7211.54</v>
      </c>
      <c r="L18" s="3">
        <f t="shared" si="1"/>
        <v>288.45999999999998</v>
      </c>
      <c r="M18" s="3">
        <f t="shared" si="2"/>
        <v>6923.08</v>
      </c>
      <c r="N18" s="2" t="s">
        <v>23</v>
      </c>
      <c r="O18" s="2" t="s">
        <v>24</v>
      </c>
      <c r="P18" s="2" t="s">
        <v>84</v>
      </c>
      <c r="Q18" s="2" t="s">
        <v>85</v>
      </c>
      <c r="R18" s="2"/>
    </row>
    <row r="19" spans="1:18" ht="19.5" customHeight="1" x14ac:dyDescent="0.25">
      <c r="A19" s="4">
        <v>14</v>
      </c>
      <c r="B19" s="4" t="s">
        <v>86</v>
      </c>
      <c r="C19" s="4" t="s">
        <v>87</v>
      </c>
      <c r="D19" s="4" t="s">
        <v>88</v>
      </c>
      <c r="E19" s="4" t="s">
        <v>39</v>
      </c>
      <c r="F19" s="4">
        <v>26</v>
      </c>
      <c r="G19" s="4">
        <v>26</v>
      </c>
      <c r="H19" s="4">
        <v>0</v>
      </c>
      <c r="I19" s="4">
        <v>0</v>
      </c>
      <c r="J19" s="5">
        <v>12000</v>
      </c>
      <c r="K19" s="5">
        <f t="shared" si="0"/>
        <v>12000</v>
      </c>
      <c r="L19" s="5">
        <f t="shared" si="1"/>
        <v>0</v>
      </c>
      <c r="M19" s="5">
        <f t="shared" si="2"/>
        <v>12000</v>
      </c>
      <c r="N19" s="4" t="s">
        <v>23</v>
      </c>
      <c r="O19" s="4" t="s">
        <v>24</v>
      </c>
      <c r="P19" s="4" t="s">
        <v>89</v>
      </c>
      <c r="Q19" s="4" t="s">
        <v>90</v>
      </c>
      <c r="R19" s="4"/>
    </row>
    <row r="20" spans="1:18" ht="19.5" customHeight="1" x14ac:dyDescent="0.25">
      <c r="A20" s="2">
        <v>15</v>
      </c>
      <c r="B20" s="2" t="s">
        <v>91</v>
      </c>
      <c r="C20" s="2" t="s">
        <v>92</v>
      </c>
      <c r="D20" s="2" t="s">
        <v>93</v>
      </c>
      <c r="E20" s="2" t="s">
        <v>22</v>
      </c>
      <c r="F20" s="2">
        <v>26</v>
      </c>
      <c r="G20" s="2">
        <v>24</v>
      </c>
      <c r="H20" s="2">
        <v>2</v>
      </c>
      <c r="I20" s="2">
        <v>0</v>
      </c>
      <c r="J20" s="3">
        <v>8000</v>
      </c>
      <c r="K20" s="3">
        <f t="shared" si="0"/>
        <v>7384.62</v>
      </c>
      <c r="L20" s="3">
        <f t="shared" si="1"/>
        <v>615.38</v>
      </c>
      <c r="M20" s="3">
        <f t="shared" si="2"/>
        <v>6769.24</v>
      </c>
      <c r="N20" s="2" t="s">
        <v>23</v>
      </c>
      <c r="O20" s="2" t="s">
        <v>24</v>
      </c>
      <c r="P20" s="2" t="s">
        <v>94</v>
      </c>
      <c r="Q20" s="2" t="s">
        <v>95</v>
      </c>
      <c r="R20" s="2"/>
    </row>
    <row r="21" spans="1:18" ht="19.5" customHeight="1" x14ac:dyDescent="0.25">
      <c r="A21" s="13" t="s">
        <v>96</v>
      </c>
      <c r="B21" s="13"/>
      <c r="C21" s="13"/>
      <c r="D21" s="13"/>
      <c r="E21" s="13"/>
      <c r="F21" s="13"/>
      <c r="G21" s="13"/>
      <c r="H21" s="13"/>
      <c r="I21" s="13"/>
      <c r="J21" s="6">
        <f>SUM(J6:J20)</f>
        <v>126000</v>
      </c>
      <c r="K21" s="6">
        <f>SUM(K6:K20)</f>
        <v>121461.56</v>
      </c>
      <c r="L21" s="6">
        <f>SUM(L6:L20)</f>
        <v>4538.4399999999996</v>
      </c>
      <c r="M21" s="6">
        <f>SUM(M6:M20)</f>
        <v>116923.12000000001</v>
      </c>
      <c r="N21" s="7"/>
      <c r="O21" s="7"/>
      <c r="P21" s="7"/>
      <c r="Q21" s="7"/>
      <c r="R21" s="7"/>
    </row>
    <row r="23" spans="1:18" ht="18" customHeight="1" x14ac:dyDescent="0.25">
      <c r="A23" s="14" t="s">
        <v>97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18" customHeight="1" x14ac:dyDescent="0.25">
      <c r="A24" s="8" t="s">
        <v>98</v>
      </c>
      <c r="B24" s="9" t="s">
        <v>99</v>
      </c>
      <c r="C24" s="10">
        <f>COUNTIFS(E6:E20,"Trade",J6:J20,"&lt;7700")</f>
        <v>5</v>
      </c>
      <c r="D24" s="11" t="s">
        <v>100</v>
      </c>
    </row>
    <row r="25" spans="1:18" ht="18" customHeight="1" x14ac:dyDescent="0.25">
      <c r="A25" s="8" t="s">
        <v>101</v>
      </c>
      <c r="B25" s="9" t="s">
        <v>102</v>
      </c>
      <c r="C25" s="10">
        <f>COUNTIFS(E6:E20,"Tech",J6:J20,"&lt;8050")</f>
        <v>0</v>
      </c>
      <c r="D25" s="11" t="s">
        <v>100</v>
      </c>
    </row>
    <row r="26" spans="1:18" ht="18" customHeight="1" x14ac:dyDescent="0.25">
      <c r="A26" s="8" t="s">
        <v>103</v>
      </c>
      <c r="B26" s="9" t="s">
        <v>104</v>
      </c>
      <c r="C26" s="10">
        <f>COUNTIFS(E6:E20,"Grad",J6:J20,"&lt;9000")</f>
        <v>0</v>
      </c>
      <c r="D26" s="11" t="s">
        <v>100</v>
      </c>
    </row>
    <row r="28" spans="1:18" ht="31.5" customHeight="1" x14ac:dyDescent="0.25">
      <c r="A28" s="15" t="s">
        <v>105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30" spans="1:18" ht="19.5" customHeight="1" x14ac:dyDescent="0.25">
      <c r="A30" s="16" t="s">
        <v>106</v>
      </c>
      <c r="B30" s="16"/>
      <c r="C30" s="16"/>
      <c r="D30" s="16"/>
      <c r="E30" s="16"/>
      <c r="F30" s="16"/>
      <c r="G30" s="16" t="s">
        <v>107</v>
      </c>
      <c r="H30" s="16"/>
      <c r="I30" s="16"/>
      <c r="J30" s="16"/>
      <c r="K30" s="16"/>
      <c r="L30" s="16"/>
      <c r="M30" s="16" t="s">
        <v>108</v>
      </c>
      <c r="N30" s="16"/>
      <c r="O30" s="16"/>
      <c r="P30" s="16"/>
      <c r="Q30" s="16"/>
      <c r="R30" s="16"/>
    </row>
  </sheetData>
  <mergeCells count="13">
    <mergeCell ref="A1:R1"/>
    <mergeCell ref="A2:R2"/>
    <mergeCell ref="A3:C3"/>
    <mergeCell ref="J3:L3"/>
    <mergeCell ref="D3:I3"/>
    <mergeCell ref="M3:Q3"/>
    <mergeCell ref="A4:R4"/>
    <mergeCell ref="A21:I21"/>
    <mergeCell ref="A23:R23"/>
    <mergeCell ref="A28:R28"/>
    <mergeCell ref="A30:F30"/>
    <mergeCell ref="G30:L30"/>
    <mergeCell ref="M30:R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Stipend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Sayed Iftekhar Ali</cp:lastModifiedBy>
  <cp:revision>0</cp:revision>
  <dcterms:created xsi:type="dcterms:W3CDTF">2026-05-19T20:03:07Z</dcterms:created>
  <dcterms:modified xsi:type="dcterms:W3CDTF">2026-05-30T20:35:48Z</dcterms:modified>
  <dc:language>en-US</dc:language>
</cp:coreProperties>
</file>