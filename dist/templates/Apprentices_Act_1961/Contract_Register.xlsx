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Apprentices_Act_1961/"/>
    </mc:Choice>
  </mc:AlternateContent>
  <xr:revisionPtr revIDLastSave="48" documentId="11_FC0B5FB2C1868FB50CA0EFE5891C14F7671CE4C4" xr6:coauthVersionLast="47" xr6:coauthVersionMax="47" xr10:uidLastSave="{F7801191-8623-4A1D-9E80-42412296D471}"/>
  <bookViews>
    <workbookView xWindow="-120" yWindow="-120" windowWidth="20730" windowHeight="11040" tabRatio="500" xr2:uid="{00000000-000D-0000-FFFF-FFFF00000000}"/>
  </bookViews>
  <sheets>
    <sheet name="Contract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1" l="1"/>
  <c r="H24" i="1"/>
  <c r="H23" i="1"/>
  <c r="H22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H25" i="1"/>
</calcChain>
</file>

<file path=xl/sharedStrings.xml><?xml version="1.0" encoding="utf-8"?>
<sst xmlns="http://schemas.openxmlformats.org/spreadsheetml/2006/main" count="218" uniqueCount="112">
  <si>
    <t>CONTRACT OF APPRENTICESHIP REGISTER</t>
  </si>
  <si>
    <t>The Apprentices Act, 1961 – Section 4 | Apprenticeship Rules, 1992 – Rule 5 | Form AA-2</t>
  </si>
  <si>
    <t xml:space="preserve">Establishment Name: </t>
  </si>
  <si>
    <t>Sl.
No.</t>
  </si>
  <si>
    <t>Apprentice
Name</t>
  </si>
  <si>
    <t>Registration
No. (NAPS)</t>
  </si>
  <si>
    <t>Trade /
Discipline</t>
  </si>
  <si>
    <t>Contract
No.</t>
  </si>
  <si>
    <t>Date of
Contract
Execution</t>
  </si>
  <si>
    <t>Date of
Commencement</t>
  </si>
  <si>
    <t>Period of
Apprenticeship
(Months)</t>
  </si>
  <si>
    <t>Date of
Expiry</t>
  </si>
  <si>
    <t>Stipend
Agreed (₹)
/ Month</t>
  </si>
  <si>
    <t>Contractor
/ TPEA
Name</t>
  </si>
  <si>
    <t>Contract
Signed By
(Employer)</t>
  </si>
  <si>
    <t>Contract
Signed By
(Apprentice)</t>
  </si>
  <si>
    <t>Contract
Registered
With BOAT
(Y/N)</t>
  </si>
  <si>
    <t>BOAT Regn.
Date</t>
  </si>
  <si>
    <t>Contract
Status
(Active/
Completed/
Terminated)</t>
  </si>
  <si>
    <t>Remarks</t>
  </si>
  <si>
    <t>25-Mar-2024</t>
  </si>
  <si>
    <t>01-Apr-2024</t>
  </si>
  <si>
    <t>ABC Industrial Training Pvt. Ltd.</t>
  </si>
  <si>
    <t>Mr. Anil Mehta (HR Head)</t>
  </si>
  <si>
    <t>Y</t>
  </si>
  <si>
    <t>28-Mar-2024</t>
  </si>
  <si>
    <t>Active</t>
  </si>
  <si>
    <t>Priya Devi Nair</t>
  </si>
  <si>
    <t>NAPS-2024-0002</t>
  </si>
  <si>
    <t>Electronic Mech</t>
  </si>
  <si>
    <t>CONTR-2024-002</t>
  </si>
  <si>
    <t>Suresh Yadav</t>
  </si>
  <si>
    <t>NAPS-2024-0003</t>
  </si>
  <si>
    <t>Fitter</t>
  </si>
  <si>
    <t>CONTR-2024-003</t>
  </si>
  <si>
    <t>Anita Singh Rajput</t>
  </si>
  <si>
    <t>NAPS-2024-0004</t>
  </si>
  <si>
    <t>Maint. Engineer</t>
  </si>
  <si>
    <t>CONTR-2024-004</t>
  </si>
  <si>
    <t>Mohammed Irfan</t>
  </si>
  <si>
    <t>NAPS-2024-0005</t>
  </si>
  <si>
    <t>Welder</t>
  </si>
  <si>
    <t>CONTR-2024-005</t>
  </si>
  <si>
    <t>Lalitha Kumari</t>
  </si>
  <si>
    <t>NAPS-2024-0006</t>
  </si>
  <si>
    <t>Draughtsman(C)</t>
  </si>
  <si>
    <t>CONTR-2024-006</t>
  </si>
  <si>
    <t>Deepak Patel</t>
  </si>
  <si>
    <t>NAPS-2024-0007</t>
  </si>
  <si>
    <t>Mech MMTM</t>
  </si>
  <si>
    <t>CONTR-2024-007</t>
  </si>
  <si>
    <t>Kavitha Reddy</t>
  </si>
  <si>
    <t>NAPS-2024-0008</t>
  </si>
  <si>
    <t>Lab Technician</t>
  </si>
  <si>
    <t>CONTR-2024-008</t>
  </si>
  <si>
    <t>Vinod Tiwari</t>
  </si>
  <si>
    <t>NAPS-2024-0009</t>
  </si>
  <si>
    <t>Turner</t>
  </si>
  <si>
    <t>CONTR-2024-009</t>
  </si>
  <si>
    <t>Sunita Verma</t>
  </si>
  <si>
    <t>NAPS-2024-0010</t>
  </si>
  <si>
    <t>COPA</t>
  </si>
  <si>
    <t>CONTR-2024-010</t>
  </si>
  <si>
    <t>Arun Menon</t>
  </si>
  <si>
    <t>NAPS-2024-0011</t>
  </si>
  <si>
    <t>Civil Engg</t>
  </si>
  <si>
    <t>CONTR-2024-011</t>
  </si>
  <si>
    <t>Pooja Sharma</t>
  </si>
  <si>
    <t>NAPS-2024-0012</t>
  </si>
  <si>
    <t>Stenographer</t>
  </si>
  <si>
    <t>CONTR-2024-012</t>
  </si>
  <si>
    <t>Ramesh Babu</t>
  </si>
  <si>
    <t>NAPS-2024-0013</t>
  </si>
  <si>
    <t>CONTR-2024-013</t>
  </si>
  <si>
    <t>Nisha Joshi</t>
  </si>
  <si>
    <t>NAPS-2024-0014</t>
  </si>
  <si>
    <t>IT Apprentice</t>
  </si>
  <si>
    <t>CONTR-2024-014</t>
  </si>
  <si>
    <t>Santosh Gupta</t>
  </si>
  <si>
    <t>NAPS-2024-0015</t>
  </si>
  <si>
    <t>Machinist</t>
  </si>
  <si>
    <t>CONTR-2024-015</t>
  </si>
  <si>
    <t>CONTRACT SUMMARY &amp; STATUTORY COMPLIANCE CHECKLIST</t>
  </si>
  <si>
    <t>Total Contracts Executed</t>
  </si>
  <si>
    <t>Contracts Registered with BOAT (Y)</t>
  </si>
  <si>
    <t>Active Contracts</t>
  </si>
  <si>
    <t>Contracts Expiring in 90 Days</t>
  </si>
  <si>
    <t>Total Monthly Stipend Commitment (₹)</t>
  </si>
  <si>
    <t>Certified that all contracts of apprenticeship are executed as per Section 4 of the Apprentices Act, 1961, registered with the Board of Apprenticeship Training (BOAT) / NAPS portal, and are maintained in Form AA-2.</t>
  </si>
  <si>
    <t>Employer / Authorised Officer</t>
  </si>
  <si>
    <t>HR Manager</t>
  </si>
  <si>
    <t>Date</t>
  </si>
  <si>
    <t>A</t>
  </si>
  <si>
    <t>OK</t>
  </si>
  <si>
    <t>AA</t>
  </si>
  <si>
    <t>AU</t>
  </si>
  <si>
    <t>CP</t>
  </si>
  <si>
    <t>LK</t>
  </si>
  <si>
    <t>LL</t>
  </si>
  <si>
    <t>QD</t>
  </si>
  <si>
    <t>UH</t>
  </si>
  <si>
    <t>KD</t>
  </si>
  <si>
    <t>AM</t>
  </si>
  <si>
    <t>UI</t>
  </si>
  <si>
    <t>UK</t>
  </si>
  <si>
    <t>RX</t>
  </si>
  <si>
    <t>LN</t>
  </si>
  <si>
    <t>RY</t>
  </si>
  <si>
    <t>RU</t>
  </si>
  <si>
    <t>Register No.:</t>
  </si>
  <si>
    <t>OA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</si>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</sst>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1F1F1F"/>
      <name val="Arial"/>
      <family val="2"/>
    </font>
    <font>
      <b/>
      <sz val="8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375623"/>
      <name val="Arial"/>
      <family val="2"/>
    </font>
    <font>
      <b/>
      <sz val="9"/>
      <color rgb="FFFFFFFF"/>
      <name val="Arial"/>
      <family val="2"/>
    </font>
    <font>
      <b/>
      <sz val="9"/>
      <color rgb="FF1F1F1F"/>
      <name val="Arial"/>
      <family val="2"/>
    </font>
    <font>
      <b/>
      <sz val="10"/>
      <color rgb="FF1F1F1F"/>
      <name val="Arial"/>
      <family val="2"/>
    </font>
    <font>
      <i/>
      <sz val="8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052"/>
        <bgColor rgb="FF1F1F1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D9D9D9"/>
        <bgColor rgb="FFDEEAF1"/>
      </patternFill>
    </fill>
  </fills>
  <borders count="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7562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showGridLines="0" tabSelected="1" topLeftCell="H1" zoomScaleNormal="100" workbookViewId="0">
      <selection activeCell="A3" sqref="A3:Q3"/>
    </sheetView>
  </sheetViews>
  <sheetFormatPr defaultColWidth="8.7109375" defaultRowHeight="15" x14ac:dyDescent="0.25"/>
  <cols>
    <col min="1" max="1" width="5" customWidth="1"/>
    <col min="2" max="2" width="18" customWidth="1"/>
    <col min="3" max="3" width="14" customWidth="1"/>
    <col min="4" max="4" width="12" customWidth="1"/>
    <col min="5" max="5" width="14" customWidth="1"/>
    <col min="6" max="7" width="13" customWidth="1"/>
    <col min="8" max="8" width="12" customWidth="1"/>
    <col min="9" max="9" width="13" customWidth="1"/>
    <col min="10" max="10" width="14" customWidth="1"/>
    <col min="11" max="11" width="12" customWidth="1"/>
    <col min="12" max="15" width="13" customWidth="1"/>
    <col min="16" max="16" width="14" customWidth="1"/>
    <col min="17" max="17" width="16" customWidth="1"/>
  </cols>
  <sheetData>
    <row r="1" spans="1:17" ht="33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8" customHeight="1" x14ac:dyDescent="0.25">
      <c r="A3" s="14" t="s">
        <v>2</v>
      </c>
      <c r="B3" s="14"/>
      <c r="C3" s="14"/>
      <c r="D3" s="19" t="s">
        <v>110</v>
      </c>
      <c r="E3" s="22"/>
      <c r="F3" s="22"/>
      <c r="G3" s="22"/>
      <c r="H3" s="22"/>
      <c r="I3" s="23"/>
      <c r="J3" s="14" t="s">
        <v>109</v>
      </c>
      <c r="K3" s="14"/>
      <c r="L3" s="14"/>
      <c r="M3" s="20" t="s">
        <v>111</v>
      </c>
      <c r="N3" s="21"/>
      <c r="O3" s="21"/>
      <c r="P3" s="21"/>
      <c r="Q3" s="21"/>
    </row>
    <row r="4" spans="1:17" ht="42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1:17" ht="19.5" customHeight="1" x14ac:dyDescent="0.25">
      <c r="A5" s="2" t="s">
        <v>92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100</v>
      </c>
      <c r="H5" s="2" t="s">
        <v>99</v>
      </c>
      <c r="I5" s="3" t="s">
        <v>98</v>
      </c>
      <c r="J5" s="4" t="s">
        <v>101</v>
      </c>
      <c r="K5" s="2" t="s">
        <v>102</v>
      </c>
      <c r="L5" s="2" t="s">
        <v>103</v>
      </c>
      <c r="M5" s="2" t="s">
        <v>104</v>
      </c>
      <c r="N5" s="2" t="s">
        <v>105</v>
      </c>
      <c r="O5" s="2" t="s">
        <v>106</v>
      </c>
      <c r="P5" s="5" t="s">
        <v>107</v>
      </c>
      <c r="Q5" s="2" t="s">
        <v>108</v>
      </c>
    </row>
    <row r="6" spans="1:17" ht="19.5" customHeight="1" x14ac:dyDescent="0.25">
      <c r="A6" s="6">
        <v>2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20</v>
      </c>
      <c r="G6" s="6" t="s">
        <v>21</v>
      </c>
      <c r="H6" s="6">
        <v>18</v>
      </c>
      <c r="I6" s="7">
        <f t="shared" ref="I6:I19" si="0">DATE(YEAR(G6),MONTH(G6)+H6,DAY(G6)-1)</f>
        <v>45930</v>
      </c>
      <c r="J6" s="8">
        <v>9000</v>
      </c>
      <c r="K6" s="6" t="s">
        <v>22</v>
      </c>
      <c r="L6" s="6" t="s">
        <v>23</v>
      </c>
      <c r="M6" s="6" t="s">
        <v>27</v>
      </c>
      <c r="N6" s="6" t="s">
        <v>24</v>
      </c>
      <c r="O6" s="6" t="s">
        <v>25</v>
      </c>
      <c r="P6" s="9" t="s">
        <v>26</v>
      </c>
      <c r="Q6" s="6"/>
    </row>
    <row r="7" spans="1:17" ht="19.5" customHeight="1" x14ac:dyDescent="0.25">
      <c r="A7" s="2">
        <v>3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20</v>
      </c>
      <c r="G7" s="2" t="s">
        <v>21</v>
      </c>
      <c r="H7" s="2">
        <v>12</v>
      </c>
      <c r="I7" s="3">
        <f t="shared" si="0"/>
        <v>45747</v>
      </c>
      <c r="J7" s="4">
        <v>7500</v>
      </c>
      <c r="K7" s="2" t="s">
        <v>22</v>
      </c>
      <c r="L7" s="2" t="s">
        <v>23</v>
      </c>
      <c r="M7" s="2" t="s">
        <v>31</v>
      </c>
      <c r="N7" s="2" t="s">
        <v>24</v>
      </c>
      <c r="O7" s="2" t="s">
        <v>25</v>
      </c>
      <c r="P7" s="5" t="s">
        <v>26</v>
      </c>
      <c r="Q7" s="2"/>
    </row>
    <row r="8" spans="1:17" ht="19.5" customHeight="1" x14ac:dyDescent="0.25">
      <c r="A8" s="6">
        <v>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20</v>
      </c>
      <c r="G8" s="6" t="s">
        <v>21</v>
      </c>
      <c r="H8" s="6">
        <v>12</v>
      </c>
      <c r="I8" s="7">
        <f t="shared" si="0"/>
        <v>45747</v>
      </c>
      <c r="J8" s="8">
        <v>12000</v>
      </c>
      <c r="K8" s="6" t="s">
        <v>22</v>
      </c>
      <c r="L8" s="6" t="s">
        <v>23</v>
      </c>
      <c r="M8" s="6" t="s">
        <v>35</v>
      </c>
      <c r="N8" s="6" t="s">
        <v>24</v>
      </c>
      <c r="O8" s="6" t="s">
        <v>25</v>
      </c>
      <c r="P8" s="9" t="s">
        <v>26</v>
      </c>
      <c r="Q8" s="6"/>
    </row>
    <row r="9" spans="1:17" ht="19.5" customHeight="1" x14ac:dyDescent="0.25">
      <c r="A9" s="2">
        <v>5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20</v>
      </c>
      <c r="G9" s="2" t="s">
        <v>21</v>
      </c>
      <c r="H9" s="2">
        <v>24</v>
      </c>
      <c r="I9" s="3">
        <f t="shared" si="0"/>
        <v>46112</v>
      </c>
      <c r="J9" s="4">
        <v>7500</v>
      </c>
      <c r="K9" s="2" t="s">
        <v>22</v>
      </c>
      <c r="L9" s="2" t="s">
        <v>23</v>
      </c>
      <c r="M9" s="2" t="s">
        <v>39</v>
      </c>
      <c r="N9" s="2" t="s">
        <v>24</v>
      </c>
      <c r="O9" s="2" t="s">
        <v>25</v>
      </c>
      <c r="P9" s="5" t="s">
        <v>26</v>
      </c>
      <c r="Q9" s="2"/>
    </row>
    <row r="10" spans="1:17" ht="19.5" customHeight="1" x14ac:dyDescent="0.25">
      <c r="A10" s="6">
        <v>6</v>
      </c>
      <c r="B10" s="6" t="s">
        <v>43</v>
      </c>
      <c r="C10" s="6" t="s">
        <v>44</v>
      </c>
      <c r="D10" s="6" t="s">
        <v>45</v>
      </c>
      <c r="E10" s="6" t="s">
        <v>46</v>
      </c>
      <c r="F10" s="6" t="s">
        <v>20</v>
      </c>
      <c r="G10" s="6" t="s">
        <v>21</v>
      </c>
      <c r="H10" s="6">
        <v>24</v>
      </c>
      <c r="I10" s="7">
        <f t="shared" si="0"/>
        <v>46112</v>
      </c>
      <c r="J10" s="8">
        <v>8000</v>
      </c>
      <c r="K10" s="6" t="s">
        <v>22</v>
      </c>
      <c r="L10" s="6" t="s">
        <v>23</v>
      </c>
      <c r="M10" s="6" t="s">
        <v>43</v>
      </c>
      <c r="N10" s="6" t="s">
        <v>24</v>
      </c>
      <c r="O10" s="6" t="s">
        <v>25</v>
      </c>
      <c r="P10" s="9" t="s">
        <v>26</v>
      </c>
      <c r="Q10" s="6"/>
    </row>
    <row r="11" spans="1:17" ht="19.5" customHeight="1" x14ac:dyDescent="0.25">
      <c r="A11" s="2">
        <v>7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20</v>
      </c>
      <c r="G11" s="2" t="s">
        <v>21</v>
      </c>
      <c r="H11" s="2">
        <v>18</v>
      </c>
      <c r="I11" s="3">
        <f t="shared" si="0"/>
        <v>45930</v>
      </c>
      <c r="J11" s="4">
        <v>9000</v>
      </c>
      <c r="K11" s="2" t="s">
        <v>22</v>
      </c>
      <c r="L11" s="2" t="s">
        <v>23</v>
      </c>
      <c r="M11" s="2" t="s">
        <v>47</v>
      </c>
      <c r="N11" s="2" t="s">
        <v>24</v>
      </c>
      <c r="O11" s="2" t="s">
        <v>25</v>
      </c>
      <c r="P11" s="5" t="s">
        <v>26</v>
      </c>
      <c r="Q11" s="2"/>
    </row>
    <row r="12" spans="1:17" ht="19.5" customHeight="1" x14ac:dyDescent="0.25">
      <c r="A12" s="6">
        <v>8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20</v>
      </c>
      <c r="G12" s="6" t="s">
        <v>21</v>
      </c>
      <c r="H12" s="6">
        <v>12</v>
      </c>
      <c r="I12" s="7">
        <f t="shared" si="0"/>
        <v>45747</v>
      </c>
      <c r="J12" s="8">
        <v>10000</v>
      </c>
      <c r="K12" s="6" t="s">
        <v>22</v>
      </c>
      <c r="L12" s="6" t="s">
        <v>23</v>
      </c>
      <c r="M12" s="6" t="s">
        <v>51</v>
      </c>
      <c r="N12" s="6" t="s">
        <v>24</v>
      </c>
      <c r="O12" s="6" t="s">
        <v>25</v>
      </c>
      <c r="P12" s="9" t="s">
        <v>26</v>
      </c>
      <c r="Q12" s="6"/>
    </row>
    <row r="13" spans="1:17" ht="19.5" customHeight="1" x14ac:dyDescent="0.25">
      <c r="A13" s="2">
        <v>9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20</v>
      </c>
      <c r="G13" s="2" t="s">
        <v>21</v>
      </c>
      <c r="H13" s="2">
        <v>12</v>
      </c>
      <c r="I13" s="3">
        <f t="shared" si="0"/>
        <v>45747</v>
      </c>
      <c r="J13" s="4">
        <v>7500</v>
      </c>
      <c r="K13" s="2" t="s">
        <v>22</v>
      </c>
      <c r="L13" s="2" t="s">
        <v>23</v>
      </c>
      <c r="M13" s="2" t="s">
        <v>55</v>
      </c>
      <c r="N13" s="2" t="s">
        <v>24</v>
      </c>
      <c r="O13" s="2" t="s">
        <v>25</v>
      </c>
      <c r="P13" s="5" t="s">
        <v>26</v>
      </c>
      <c r="Q13" s="2"/>
    </row>
    <row r="14" spans="1:17" ht="19.5" customHeight="1" x14ac:dyDescent="0.25">
      <c r="A14" s="6">
        <v>10</v>
      </c>
      <c r="B14" s="6" t="s">
        <v>59</v>
      </c>
      <c r="C14" s="6" t="s">
        <v>60</v>
      </c>
      <c r="D14" s="6" t="s">
        <v>61</v>
      </c>
      <c r="E14" s="6" t="s">
        <v>62</v>
      </c>
      <c r="F14" s="6" t="s">
        <v>20</v>
      </c>
      <c r="G14" s="6" t="s">
        <v>21</v>
      </c>
      <c r="H14" s="6">
        <v>18</v>
      </c>
      <c r="I14" s="7">
        <f t="shared" si="0"/>
        <v>45930</v>
      </c>
      <c r="J14" s="8">
        <v>8500</v>
      </c>
      <c r="K14" s="6" t="s">
        <v>22</v>
      </c>
      <c r="L14" s="6" t="s">
        <v>23</v>
      </c>
      <c r="M14" s="6" t="s">
        <v>59</v>
      </c>
      <c r="N14" s="6" t="s">
        <v>24</v>
      </c>
      <c r="O14" s="6" t="s">
        <v>25</v>
      </c>
      <c r="P14" s="9" t="s">
        <v>26</v>
      </c>
      <c r="Q14" s="6"/>
    </row>
    <row r="15" spans="1:17" ht="19.5" customHeight="1" x14ac:dyDescent="0.25">
      <c r="A15" s="2">
        <v>11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20</v>
      </c>
      <c r="G15" s="2" t="s">
        <v>21</v>
      </c>
      <c r="H15" s="2">
        <v>12</v>
      </c>
      <c r="I15" s="3">
        <f t="shared" si="0"/>
        <v>45747</v>
      </c>
      <c r="J15" s="4">
        <v>12000</v>
      </c>
      <c r="K15" s="2" t="s">
        <v>22</v>
      </c>
      <c r="L15" s="2" t="s">
        <v>23</v>
      </c>
      <c r="M15" s="2" t="s">
        <v>63</v>
      </c>
      <c r="N15" s="2" t="s">
        <v>24</v>
      </c>
      <c r="O15" s="2" t="s">
        <v>25</v>
      </c>
      <c r="P15" s="5" t="s">
        <v>26</v>
      </c>
      <c r="Q15" s="2"/>
    </row>
    <row r="16" spans="1:17" ht="19.5" customHeight="1" x14ac:dyDescent="0.25">
      <c r="A16" s="6">
        <v>12</v>
      </c>
      <c r="B16" s="6" t="s">
        <v>67</v>
      </c>
      <c r="C16" s="6" t="s">
        <v>68</v>
      </c>
      <c r="D16" s="6" t="s">
        <v>69</v>
      </c>
      <c r="E16" s="6" t="s">
        <v>70</v>
      </c>
      <c r="F16" s="6" t="s">
        <v>20</v>
      </c>
      <c r="G16" s="6" t="s">
        <v>21</v>
      </c>
      <c r="H16" s="6">
        <v>12</v>
      </c>
      <c r="I16" s="7">
        <f t="shared" si="0"/>
        <v>45747</v>
      </c>
      <c r="J16" s="8">
        <v>7500</v>
      </c>
      <c r="K16" s="6" t="s">
        <v>22</v>
      </c>
      <c r="L16" s="6" t="s">
        <v>23</v>
      </c>
      <c r="M16" s="6" t="s">
        <v>67</v>
      </c>
      <c r="N16" s="6" t="s">
        <v>24</v>
      </c>
      <c r="O16" s="6" t="s">
        <v>25</v>
      </c>
      <c r="P16" s="9" t="s">
        <v>26</v>
      </c>
      <c r="Q16" s="6"/>
    </row>
    <row r="17" spans="1:17" ht="19.5" customHeight="1" x14ac:dyDescent="0.25">
      <c r="A17" s="2">
        <v>13</v>
      </c>
      <c r="B17" s="2" t="s">
        <v>71</v>
      </c>
      <c r="C17" s="2" t="s">
        <v>72</v>
      </c>
      <c r="D17" s="2" t="s">
        <v>61</v>
      </c>
      <c r="E17" s="2" t="s">
        <v>73</v>
      </c>
      <c r="F17" s="2" t="s">
        <v>20</v>
      </c>
      <c r="G17" s="2" t="s">
        <v>21</v>
      </c>
      <c r="H17" s="2">
        <v>12</v>
      </c>
      <c r="I17" s="3">
        <f t="shared" si="0"/>
        <v>45747</v>
      </c>
      <c r="J17" s="4">
        <v>7500</v>
      </c>
      <c r="K17" s="2" t="s">
        <v>22</v>
      </c>
      <c r="L17" s="2" t="s">
        <v>23</v>
      </c>
      <c r="M17" s="2" t="s">
        <v>71</v>
      </c>
      <c r="N17" s="2" t="s">
        <v>24</v>
      </c>
      <c r="O17" s="2" t="s">
        <v>25</v>
      </c>
      <c r="P17" s="5" t="s">
        <v>26</v>
      </c>
      <c r="Q17" s="2"/>
    </row>
    <row r="18" spans="1:17" ht="19.5" customHeight="1" x14ac:dyDescent="0.25">
      <c r="A18" s="6">
        <v>14</v>
      </c>
      <c r="B18" s="6" t="s">
        <v>74</v>
      </c>
      <c r="C18" s="6" t="s">
        <v>75</v>
      </c>
      <c r="D18" s="6" t="s">
        <v>76</v>
      </c>
      <c r="E18" s="6" t="s">
        <v>77</v>
      </c>
      <c r="F18" s="6" t="s">
        <v>20</v>
      </c>
      <c r="G18" s="6" t="s">
        <v>21</v>
      </c>
      <c r="H18" s="6">
        <v>12</v>
      </c>
      <c r="I18" s="7">
        <f t="shared" si="0"/>
        <v>45747</v>
      </c>
      <c r="J18" s="8">
        <v>12000</v>
      </c>
      <c r="K18" s="6" t="s">
        <v>22</v>
      </c>
      <c r="L18" s="6" t="s">
        <v>23</v>
      </c>
      <c r="M18" s="6" t="s">
        <v>74</v>
      </c>
      <c r="N18" s="6" t="s">
        <v>24</v>
      </c>
      <c r="O18" s="6" t="s">
        <v>25</v>
      </c>
      <c r="P18" s="9" t="s">
        <v>26</v>
      </c>
      <c r="Q18" s="6"/>
    </row>
    <row r="19" spans="1:17" ht="19.5" customHeight="1" x14ac:dyDescent="0.25">
      <c r="A19" s="2">
        <v>15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20</v>
      </c>
      <c r="G19" s="2" t="s">
        <v>21</v>
      </c>
      <c r="H19" s="2">
        <v>24</v>
      </c>
      <c r="I19" s="3">
        <f t="shared" si="0"/>
        <v>46112</v>
      </c>
      <c r="J19" s="4">
        <v>8000</v>
      </c>
      <c r="K19" s="2" t="s">
        <v>22</v>
      </c>
      <c r="L19" s="2" t="s">
        <v>23</v>
      </c>
      <c r="M19" s="2" t="s">
        <v>78</v>
      </c>
      <c r="N19" s="2" t="s">
        <v>24</v>
      </c>
      <c r="O19" s="2" t="s">
        <v>25</v>
      </c>
      <c r="P19" s="5" t="s">
        <v>26</v>
      </c>
      <c r="Q19" s="2"/>
    </row>
    <row r="21" spans="1:17" ht="18" customHeight="1" x14ac:dyDescent="0.25">
      <c r="A21" s="15" t="s">
        <v>82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.75" customHeight="1" x14ac:dyDescent="0.25">
      <c r="A22" s="16" t="s">
        <v>83</v>
      </c>
      <c r="B22" s="16"/>
      <c r="C22" s="16"/>
      <c r="D22" s="16"/>
      <c r="E22" s="16"/>
      <c r="F22" s="16"/>
      <c r="G22" s="16"/>
      <c r="H22" s="10">
        <f>COUNTA(E5:E19)</f>
        <v>15</v>
      </c>
    </row>
    <row r="23" spans="1:17" ht="15.75" customHeight="1" x14ac:dyDescent="0.25">
      <c r="A23" s="16" t="s">
        <v>84</v>
      </c>
      <c r="B23" s="16"/>
      <c r="C23" s="16"/>
      <c r="D23" s="16"/>
      <c r="E23" s="16"/>
      <c r="F23" s="16"/>
      <c r="G23" s="16"/>
      <c r="H23" s="10">
        <f>COUNTIF(N5:N19,"Y")</f>
        <v>14</v>
      </c>
    </row>
    <row r="24" spans="1:17" ht="15.75" customHeight="1" x14ac:dyDescent="0.25">
      <c r="A24" s="16" t="s">
        <v>85</v>
      </c>
      <c r="B24" s="16"/>
      <c r="C24" s="16"/>
      <c r="D24" s="16"/>
      <c r="E24" s="16"/>
      <c r="F24" s="16"/>
      <c r="G24" s="16"/>
      <c r="H24" s="10">
        <f>COUNTIF(P5:P19,"Active")</f>
        <v>14</v>
      </c>
    </row>
    <row r="25" spans="1:17" ht="15.75" customHeight="1" x14ac:dyDescent="0.25">
      <c r="A25" s="16" t="s">
        <v>86</v>
      </c>
      <c r="B25" s="16"/>
      <c r="C25" s="16"/>
      <c r="D25" s="16"/>
      <c r="E25" s="16"/>
      <c r="F25" s="16"/>
      <c r="G25" s="16"/>
      <c r="H25" s="10" t="e">
        <f ca="1">SUMPRODUCT((P5:P19="Active")*(I5:I19-TODAY()&lt;=90)*(I5:I19-TODAY()&gt;=0))</f>
        <v>#VALUE!</v>
      </c>
    </row>
    <row r="26" spans="1:17" ht="15.75" customHeight="1" x14ac:dyDescent="0.25">
      <c r="A26" s="16" t="s">
        <v>87</v>
      </c>
      <c r="B26" s="16"/>
      <c r="C26" s="16"/>
      <c r="D26" s="16"/>
      <c r="E26" s="16"/>
      <c r="F26" s="16"/>
      <c r="G26" s="16"/>
      <c r="H26" s="11">
        <f>SUMIF(P5:P19,"Active",J5:J19)</f>
        <v>126000</v>
      </c>
    </row>
    <row r="28" spans="1:17" ht="31.5" customHeight="1" x14ac:dyDescent="0.25">
      <c r="A28" s="17" t="s">
        <v>88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30" spans="1:17" ht="19.5" customHeight="1" x14ac:dyDescent="0.25">
      <c r="A30" s="18" t="s">
        <v>89</v>
      </c>
      <c r="B30" s="18"/>
      <c r="C30" s="18"/>
      <c r="D30" s="18"/>
      <c r="E30" s="18"/>
      <c r="F30" s="18" t="s">
        <v>90</v>
      </c>
      <c r="G30" s="18"/>
      <c r="H30" s="18"/>
      <c r="I30" s="18"/>
      <c r="J30" s="18"/>
      <c r="K30" s="18" t="s">
        <v>91</v>
      </c>
      <c r="L30" s="18"/>
      <c r="M30" s="18"/>
      <c r="N30" s="18"/>
      <c r="O30" s="18"/>
    </row>
  </sheetData>
  <mergeCells count="16">
    <mergeCell ref="A26:G26"/>
    <mergeCell ref="A28:Q28"/>
    <mergeCell ref="A30:E30"/>
    <mergeCell ref="F30:J30"/>
    <mergeCell ref="K30:O30"/>
    <mergeCell ref="A21:Q21"/>
    <mergeCell ref="A22:G22"/>
    <mergeCell ref="A23:G23"/>
    <mergeCell ref="A24:G24"/>
    <mergeCell ref="A25:G25"/>
    <mergeCell ref="A1:Q1"/>
    <mergeCell ref="A2:Q2"/>
    <mergeCell ref="A3:C3"/>
    <mergeCell ref="J3:L3"/>
    <mergeCell ref="M3:Q3"/>
    <mergeCell ref="D3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Sayed Iftekhar Ali</cp:lastModifiedBy>
  <cp:revision>0</cp:revision>
  <dcterms:created xsi:type="dcterms:W3CDTF">2026-05-19T20:03:07Z</dcterms:created>
  <dcterms:modified xsi:type="dcterms:W3CDTF">2026-05-30T20:35:55Z</dcterms:modified>
  <dc:language>en-US</dc:language>
</cp:coreProperties>
</file>