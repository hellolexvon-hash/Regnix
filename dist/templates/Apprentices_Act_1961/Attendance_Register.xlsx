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7e3616b9c73ea01/Desktop/Regnix forms and register/Apprentices_Act_1961/"/>
    </mc:Choice>
  </mc:AlternateContent>
  <xr:revisionPtr revIDLastSave="33" documentId="11_8FE7DEB8868E8ECD135D0381C5FE1EF7671D76F7" xr6:coauthVersionLast="47" xr6:coauthVersionMax="47" xr10:uidLastSave="{9BC3E37C-7E07-4B74-A5AE-D67C1A8B956D}"/>
  <bookViews>
    <workbookView xWindow="-120" yWindow="-120" windowWidth="20730" windowHeight="11040" tabRatio="500" xr2:uid="{00000000-000D-0000-FFFF-FFFF00000000}"/>
  </bookViews>
  <sheets>
    <sheet name="Attendance Register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21" i="1" l="1"/>
  <c r="AP20" i="1"/>
  <c r="AO20" i="1"/>
  <c r="AN20" i="1"/>
  <c r="AM20" i="1"/>
  <c r="AL20" i="1"/>
  <c r="AK20" i="1"/>
  <c r="AP19" i="1"/>
  <c r="AO19" i="1"/>
  <c r="AN19" i="1"/>
  <c r="AM19" i="1"/>
  <c r="AL19" i="1"/>
  <c r="AK19" i="1"/>
  <c r="AP18" i="1"/>
  <c r="AO18" i="1"/>
  <c r="AN18" i="1"/>
  <c r="AM18" i="1"/>
  <c r="AL18" i="1"/>
  <c r="AK18" i="1"/>
  <c r="AP17" i="1"/>
  <c r="AO17" i="1"/>
  <c r="AN17" i="1"/>
  <c r="AM17" i="1"/>
  <c r="AL17" i="1"/>
  <c r="AK17" i="1"/>
  <c r="AP16" i="1"/>
  <c r="AO16" i="1"/>
  <c r="AN16" i="1"/>
  <c r="AM16" i="1"/>
  <c r="AL16" i="1"/>
  <c r="AK16" i="1"/>
  <c r="AP15" i="1"/>
  <c r="AO15" i="1"/>
  <c r="AN15" i="1"/>
  <c r="AM15" i="1"/>
  <c r="AL15" i="1"/>
  <c r="AK15" i="1"/>
  <c r="AP14" i="1"/>
  <c r="AO14" i="1"/>
  <c r="AN14" i="1"/>
  <c r="AM14" i="1"/>
  <c r="AL14" i="1"/>
  <c r="AK14" i="1"/>
  <c r="AP13" i="1"/>
  <c r="AO13" i="1"/>
  <c r="AN13" i="1"/>
  <c r="AM13" i="1"/>
  <c r="AL13" i="1"/>
  <c r="AK13" i="1"/>
  <c r="AP12" i="1"/>
  <c r="AO12" i="1"/>
  <c r="AN12" i="1"/>
  <c r="AM12" i="1"/>
  <c r="AL12" i="1"/>
  <c r="AK12" i="1"/>
  <c r="AP11" i="1"/>
  <c r="AO11" i="1"/>
  <c r="AN11" i="1"/>
  <c r="AM11" i="1"/>
  <c r="AL11" i="1"/>
  <c r="AK11" i="1"/>
  <c r="AP10" i="1"/>
  <c r="AO10" i="1"/>
  <c r="AN10" i="1"/>
  <c r="AM10" i="1"/>
  <c r="AL10" i="1"/>
  <c r="AK10" i="1"/>
  <c r="AP9" i="1"/>
  <c r="AO9" i="1"/>
  <c r="AN9" i="1"/>
  <c r="AM9" i="1"/>
  <c r="AL9" i="1"/>
  <c r="AK9" i="1"/>
  <c r="AP8" i="1"/>
  <c r="AO8" i="1"/>
  <c r="AN8" i="1"/>
  <c r="AM8" i="1"/>
  <c r="AL8" i="1"/>
  <c r="AK8" i="1"/>
  <c r="AP7" i="1"/>
  <c r="AO7" i="1"/>
  <c r="AN7" i="1"/>
  <c r="AM7" i="1"/>
  <c r="AL7" i="1"/>
  <c r="AK7" i="1"/>
  <c r="AP21" i="1"/>
  <c r="AO21" i="1"/>
  <c r="AN21" i="1"/>
  <c r="AM21" i="1"/>
  <c r="AL21" i="1"/>
</calcChain>
</file>

<file path=xl/sharedStrings.xml><?xml version="1.0" encoding="utf-8"?>
<sst xmlns="http://schemas.openxmlformats.org/spreadsheetml/2006/main" count="593" uniqueCount="145">
  <si>
    <t>ATTENDANCE REGISTER – APPRENTICES</t>
  </si>
  <si>
    <t>The Apprentices Act, 1961 – Section 6 | Apprenticeship Rules, 1992 – Rule 11 | Form AA-5</t>
  </si>
  <si>
    <t>MONTH: APRIL 2024</t>
  </si>
  <si>
    <t>Sl.
No.</t>
  </si>
  <si>
    <t>Apprentice
Name</t>
  </si>
  <si>
    <t>Reg. No.
(NAPS)</t>
  </si>
  <si>
    <t>Trade</t>
  </si>
  <si>
    <t>Shift
(G/A/B/C)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</si>
  <si>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</si>
  <si>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</si>
  <si>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</si>
  <si>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</si>
  <si>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</si>
  <si>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</si>
  <si>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</si>
  <si>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</si>
  <si>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</si>
  <si>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</si>
  <si>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</si>
  <si>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</si>
  <si>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</si>
  <si>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</si>
  <si>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</si>
  <si>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</si>
  <si>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</si>
  <si>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</si>
  <si>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</si>
  <si>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</si>
  <si>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</si>
  <si>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</si>
  <si>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</si>
  <si>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</si>
  <si>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</si>
  <si>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</si>
  <si>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</si>
  <si>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</si>
  <si>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</si>
  <si>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</si>
  <si>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Total
Present</t>
  </si>
  <si>
    <t>Total
Absent</t>
  </si>
  <si>
    <t>On Leave
(SL/CL/EL)</t>
  </si>
  <si>
    <t>Holiday</t>
  </si>
  <si>
    <t>Working
Days</t>
  </si>
  <si>
    <t>Attendance
%</t>
  </si>
  <si>
    <t>G</t>
  </si>
  <si>
    <t>Sun</t>
  </si>
  <si>
    <t>P</t>
  </si>
  <si>
    <t>H</t>
  </si>
  <si>
    <t>A</t>
  </si>
  <si>
    <t>L</t>
  </si>
  <si>
    <t>Priya Devi Nair</t>
  </si>
  <si>
    <t>NAPS-2024-0002</t>
  </si>
  <si>
    <t>Electronic Mech</t>
  </si>
  <si>
    <t>Suresh Yadav</t>
  </si>
  <si>
    <t>NAPS-2024-0003</t>
  </si>
  <si>
    <t>Fitter</t>
  </si>
  <si>
    <t>Anita Singh Rajput</t>
  </si>
  <si>
    <t>NAPS-2024-0004</t>
  </si>
  <si>
    <t>Maint. Engineer</t>
  </si>
  <si>
    <t>Mohammed Irfan</t>
  </si>
  <si>
    <t>NAPS-2024-0005</t>
  </si>
  <si>
    <t>Welder</t>
  </si>
  <si>
    <t>B</t>
  </si>
  <si>
    <t>Lalitha Kumari</t>
  </si>
  <si>
    <t>NAPS-2024-0006</t>
  </si>
  <si>
    <t>Draughtsman(C)</t>
  </si>
  <si>
    <t>Deepak Patel</t>
  </si>
  <si>
    <t>NAPS-2024-0007</t>
  </si>
  <si>
    <t>Mech MMTM</t>
  </si>
  <si>
    <t>Kavitha Reddy</t>
  </si>
  <si>
    <t>NAPS-2024-0008</t>
  </si>
  <si>
    <t>Lab Technician</t>
  </si>
  <si>
    <t>Vinod Tiwari</t>
  </si>
  <si>
    <t>NAPS-2024-0009</t>
  </si>
  <si>
    <t>Turner</t>
  </si>
  <si>
    <t>Sunita Verma</t>
  </si>
  <si>
    <t>NAPS-2024-0010</t>
  </si>
  <si>
    <t>COPA</t>
  </si>
  <si>
    <t>Arun Menon</t>
  </si>
  <si>
    <t>NAPS-2024-0011</t>
  </si>
  <si>
    <t>Civil Engg</t>
  </si>
  <si>
    <t>Pooja Sharma</t>
  </si>
  <si>
    <t>NAPS-2024-0012</t>
  </si>
  <si>
    <t>Stenographer</t>
  </si>
  <si>
    <t>Ramesh Babu</t>
  </si>
  <si>
    <t>NAPS-2024-0013</t>
  </si>
  <si>
    <t>Nisha Joshi</t>
  </si>
  <si>
    <t>NAPS-2024-0014</t>
  </si>
  <si>
    <t>IT Apprentice</t>
  </si>
  <si>
    <t>Santosh Gupta</t>
  </si>
  <si>
    <t>NAPS-2024-0015</t>
  </si>
  <si>
    <t>Machinist</t>
  </si>
  <si>
    <t>MONTHLY TOTALS</t>
  </si>
  <si>
    <t>LEGEND</t>
  </si>
  <si>
    <t>Present</t>
  </si>
  <si>
    <t>Absent</t>
  </si>
  <si>
    <t>On Leave (SL/CL/EL)</t>
  </si>
  <si>
    <t>Holiday / Week Off</t>
  </si>
  <si>
    <t>Certified that this attendance register is maintained as per Rule 11 of the Apprenticeship Rules, 1992. Apprentices are required to maintain a minimum of 75% attendance. Shortfall in attendance will result in proportionate deduction / extension of apprenticeship period.</t>
  </si>
  <si>
    <t>Training Officer</t>
  </si>
  <si>
    <t>HR Manager</t>
  </si>
  <si>
    <t>Authorised Signatory</t>
  </si>
  <si>
    <t>Register No.:</t>
  </si>
  <si>
    <t>CN</t>
  </si>
  <si>
    <t>OK</t>
  </si>
  <si>
    <t>AA</t>
  </si>
  <si>
    <t>AU</t>
  </si>
  <si>
    <t>QU</t>
  </si>
  <si>
    <t>EN</t>
  </si>
  <si>
    <t>EO</t>
  </si>
  <si>
    <t>EP</t>
  </si>
  <si>
    <t>EQ</t>
  </si>
  <si>
    <t>ER</t>
  </si>
  <si>
    <t>ES</t>
  </si>
  <si>
    <t>ET</t>
  </si>
  <si>
    <t>EU</t>
  </si>
  <si>
    <t>EV</t>
  </si>
  <si>
    <t>EW</t>
  </si>
  <si>
    <t>EX</t>
  </si>
  <si>
    <t>EY</t>
  </si>
  <si>
    <t>EZ</t>
  </si>
  <si>
    <t>FA</t>
  </si>
  <si>
    <t>FB</t>
  </si>
  <si>
    <t>FC</t>
  </si>
  <si>
    <t>FD</t>
  </si>
  <si>
    <t>FE</t>
  </si>
  <si>
    <t>FF</t>
  </si>
  <si>
    <t>FG</t>
  </si>
  <si>
    <t>FH</t>
  </si>
  <si>
    <t>FI</t>
  </si>
  <si>
    <t>FJ</t>
  </si>
  <si>
    <t>FK</t>
  </si>
  <si>
    <t>FL</t>
  </si>
  <si>
    <t>FM</t>
  </si>
  <si>
    <t>FN</t>
  </si>
  <si>
    <t>FO</t>
  </si>
  <si>
    <t>FP</t>
  </si>
  <si>
    <t>FQ</t>
  </si>
  <si>
    <t>FR</t>
  </si>
  <si>
    <t>IL</t>
  </si>
  <si>
    <t>GR</t>
  </si>
  <si>
    <t>RV</t>
  </si>
  <si>
    <t>GS</t>
  </si>
  <si>
    <t xml:space="preserve">Establishment Name: </t>
  </si>
  <si>
    <t>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</si>
</sst>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FFFFFF"/>
      <name val="Arial"/>
      <family val="2"/>
    </font>
    <font>
      <b/>
      <sz val="8"/>
      <color rgb="FF1F1F1F"/>
      <name val="Arial"/>
      <family val="2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b/>
      <sz val="7"/>
      <color rgb="FFFFFFFF"/>
      <name val="Arial"/>
      <family val="2"/>
    </font>
    <font>
      <sz val="8"/>
      <color rgb="FF1F1F1F"/>
      <name val="Arial"/>
      <family val="2"/>
    </font>
    <font>
      <b/>
      <sz val="7"/>
      <color rgb="FF375623"/>
      <name val="Arial"/>
      <family val="2"/>
    </font>
    <font>
      <sz val="7"/>
      <color rgb="FF1F1F1F"/>
      <name val="Arial"/>
      <family val="2"/>
    </font>
    <font>
      <b/>
      <sz val="7"/>
      <color rgb="FFC00000"/>
      <name val="Arial"/>
      <family val="2"/>
    </font>
    <font>
      <sz val="9"/>
      <color rgb="FF1F1F1F"/>
      <name val="Arial"/>
      <family val="2"/>
    </font>
    <font>
      <b/>
      <sz val="9"/>
      <color rgb="FFFFFFFF"/>
      <name val="Arial"/>
      <family val="2"/>
    </font>
    <font>
      <b/>
      <sz val="9"/>
      <color rgb="FF1F1F1F"/>
      <name val="Arial"/>
      <family val="2"/>
    </font>
    <font>
      <i/>
      <sz val="8"/>
      <color rgb="FF1F1F1F"/>
      <name val="Arial"/>
      <family val="2"/>
    </font>
    <font>
      <b/>
      <sz val="9"/>
      <color rgb="FF375623"/>
      <name val="Arial"/>
      <family val="2"/>
    </font>
    <font>
      <sz val="9"/>
      <color rgb="FF404040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1A3052"/>
        <bgColor rgb="FF1F494E"/>
      </patternFill>
    </fill>
    <fill>
      <patternFill patternType="solid">
        <fgColor rgb="FF2E6DA4"/>
        <bgColor rgb="FF3366FF"/>
      </patternFill>
    </fill>
    <fill>
      <patternFill patternType="solid">
        <fgColor rgb="FFFFF2CC"/>
        <bgColor rgb="FFFCE4D6"/>
      </patternFill>
    </fill>
    <fill>
      <patternFill patternType="solid">
        <fgColor rgb="FF1F494E"/>
        <bgColor rgb="FF1A3052"/>
      </patternFill>
    </fill>
    <fill>
      <patternFill patternType="solid">
        <fgColor rgb="FFDEEAF1"/>
        <bgColor rgb="FFD9EEF1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EEAF1"/>
      </patternFill>
    </fill>
    <fill>
      <patternFill patternType="solid">
        <fgColor rgb="FFFCE4D6"/>
        <bgColor rgb="FFFFF2CC"/>
      </patternFill>
    </fill>
    <fill>
      <patternFill patternType="solid">
        <fgColor rgb="FFD9EEF1"/>
        <bgColor rgb="FFDEEAF1"/>
      </patternFill>
    </fill>
    <fill>
      <patternFill patternType="solid">
        <fgColor rgb="FFFFFFFF"/>
        <bgColor rgb="FFFFF2CC"/>
      </patternFill>
    </fill>
    <fill>
      <patternFill patternType="solid">
        <fgColor rgb="FFDEEAF1"/>
        <bgColor rgb="FFF2F2F2"/>
      </patternFill>
    </fill>
    <fill>
      <patternFill patternType="solid">
        <fgColor rgb="FFFFFFFF"/>
        <bgColor rgb="FFEBF3FB"/>
      </patternFill>
    </fill>
    <fill>
      <patternFill patternType="solid">
        <fgColor rgb="FFFFF2CC"/>
        <bgColor rgb="FFF2F2F2"/>
      </patternFill>
    </fill>
  </fills>
  <borders count="9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5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0" fontId="11" fillId="10" borderId="2" xfId="0" applyNumberFormat="1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15" fillId="12" borderId="2" xfId="0" applyFont="1" applyFill="1" applyBorder="1" applyAlignment="1">
      <alignment horizontal="center" vertical="center" wrapText="1"/>
    </xf>
    <xf numFmtId="0" fontId="16" fillId="13" borderId="4" xfId="0" applyFont="1" applyFill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7" borderId="1" xfId="0" applyFont="1" applyFill="1" applyBorder="1" applyAlignment="1">
      <alignment horizontal="left" vertical="center"/>
    </xf>
    <xf numFmtId="0" fontId="11" fillId="9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11" fillId="8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14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5" xfId="0" applyFont="1" applyFill="1" applyBorder="1" applyAlignment="1">
      <alignment horizontal="center" vertical="center"/>
    </xf>
    <xf numFmtId="0" fontId="3" fillId="14" borderId="6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1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EF1"/>
      <rgbColor rgb="FF660066"/>
      <rgbColor rgb="FFFF8080"/>
      <rgbColor rgb="FF2E6DA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1A3052"/>
      <rgbColor rgb="FF339966"/>
      <rgbColor rgb="FF003300"/>
      <rgbColor rgb="FF375623"/>
      <rgbColor rgb="FF993300"/>
      <rgbColor rgb="FF993366"/>
      <rgbColor rgb="FF1F494E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28"/>
  <sheetViews>
    <sheetView showGridLines="0" tabSelected="1" zoomScaleNormal="100" workbookViewId="0">
      <selection activeCell="A3" sqref="A3:XFD3"/>
    </sheetView>
  </sheetViews>
  <sheetFormatPr defaultColWidth="8.7109375" defaultRowHeight="15" x14ac:dyDescent="0.25"/>
  <cols>
    <col min="1" max="1" width="5" customWidth="1"/>
    <col min="2" max="2" width="18" customWidth="1"/>
    <col min="3" max="3" width="14" customWidth="1"/>
    <col min="4" max="4" width="12" customWidth="1"/>
    <col min="5" max="5" width="11" customWidth="1"/>
    <col min="6" max="36" width="3.85546875" customWidth="1"/>
    <col min="37" max="42" width="9" customWidth="1"/>
  </cols>
  <sheetData>
    <row r="1" spans="1:43" ht="33.75" customHeight="1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</row>
    <row r="2" spans="1:43" ht="15.75" customHeight="1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</row>
    <row r="3" spans="1:43" ht="18" customHeight="1" x14ac:dyDescent="0.25">
      <c r="A3" s="33" t="s">
        <v>143</v>
      </c>
      <c r="B3" s="33"/>
      <c r="C3" s="33"/>
      <c r="D3" s="34" t="s">
        <v>144</v>
      </c>
      <c r="E3" s="35"/>
      <c r="F3" s="35"/>
      <c r="G3" s="35"/>
      <c r="H3" s="35"/>
      <c r="I3" s="36"/>
      <c r="J3" s="33" t="s">
        <v>102</v>
      </c>
      <c r="K3" s="33"/>
      <c r="L3" s="33"/>
      <c r="M3" s="37" t="s">
        <v>44</v>
      </c>
      <c r="N3" s="38"/>
      <c r="O3" s="38"/>
      <c r="P3" s="38"/>
      <c r="Q3" s="38"/>
    </row>
    <row r="4" spans="1:43" ht="19.5" customHeight="1" x14ac:dyDescent="0.25">
      <c r="A4" s="24" t="s">
        <v>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</row>
    <row r="5" spans="1:43" ht="45" customHeight="1" x14ac:dyDescent="0.2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2">
        <v>1</v>
      </c>
      <c r="G5" s="2" t="s">
        <v>8</v>
      </c>
      <c r="H5" s="2" t="s">
        <v>9</v>
      </c>
      <c r="I5" s="2" t="s">
        <v>10</v>
      </c>
      <c r="J5" s="2" t="s">
        <v>11</v>
      </c>
      <c r="K5" s="2" t="s">
        <v>12</v>
      </c>
      <c r="L5" s="2" t="s">
        <v>13</v>
      </c>
      <c r="M5" s="2" t="s">
        <v>14</v>
      </c>
      <c r="N5" s="2" t="s">
        <v>15</v>
      </c>
      <c r="O5" s="2" t="s">
        <v>16</v>
      </c>
      <c r="P5" s="2" t="s">
        <v>17</v>
      </c>
      <c r="Q5" s="2" t="s">
        <v>18</v>
      </c>
      <c r="R5" s="2" t="s">
        <v>19</v>
      </c>
      <c r="S5" s="2" t="s">
        <v>20</v>
      </c>
      <c r="T5" s="2" t="s">
        <v>21</v>
      </c>
      <c r="U5" s="2" t="s">
        <v>22</v>
      </c>
      <c r="V5" s="2" t="s">
        <v>23</v>
      </c>
      <c r="W5" s="2" t="s">
        <v>24</v>
      </c>
      <c r="X5" s="2" t="s">
        <v>25</v>
      </c>
      <c r="Y5" s="2" t="s">
        <v>26</v>
      </c>
      <c r="Z5" s="2" t="s">
        <v>27</v>
      </c>
      <c r="AA5" s="2" t="s">
        <v>28</v>
      </c>
      <c r="AB5" s="2" t="s">
        <v>29</v>
      </c>
      <c r="AC5" s="2" t="s">
        <v>30</v>
      </c>
      <c r="AD5" s="2" t="s">
        <v>31</v>
      </c>
      <c r="AE5" s="2" t="s">
        <v>32</v>
      </c>
      <c r="AF5" s="2" t="s">
        <v>33</v>
      </c>
      <c r="AG5" s="2" t="s">
        <v>34</v>
      </c>
      <c r="AH5" s="2" t="s">
        <v>35</v>
      </c>
      <c r="AI5" s="2" t="s">
        <v>36</v>
      </c>
      <c r="AJ5" s="2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</row>
    <row r="6" spans="1:43" ht="15.75" customHeight="1" x14ac:dyDescent="0.25">
      <c r="A6" s="18" t="s">
        <v>48</v>
      </c>
      <c r="B6" s="18" t="s">
        <v>104</v>
      </c>
      <c r="C6" s="18" t="s">
        <v>105</v>
      </c>
      <c r="D6" s="18" t="s">
        <v>106</v>
      </c>
      <c r="E6" s="20" t="s">
        <v>107</v>
      </c>
      <c r="F6" s="19" t="s">
        <v>108</v>
      </c>
      <c r="G6" s="19" t="s">
        <v>109</v>
      </c>
      <c r="H6" s="19" t="s">
        <v>110</v>
      </c>
      <c r="I6" s="19" t="s">
        <v>111</v>
      </c>
      <c r="J6" s="19" t="s">
        <v>112</v>
      </c>
      <c r="K6" s="19" t="s">
        <v>113</v>
      </c>
      <c r="L6" s="19" t="s">
        <v>114</v>
      </c>
      <c r="M6" s="19" t="s">
        <v>115</v>
      </c>
      <c r="N6" s="19" t="s">
        <v>116</v>
      </c>
      <c r="O6" s="19" t="s">
        <v>117</v>
      </c>
      <c r="P6" s="19" t="s">
        <v>118</v>
      </c>
      <c r="Q6" s="19" t="s">
        <v>119</v>
      </c>
      <c r="R6" s="19" t="s">
        <v>120</v>
      </c>
      <c r="S6" s="19" t="s">
        <v>121</v>
      </c>
      <c r="T6" s="19" t="s">
        <v>122</v>
      </c>
      <c r="U6" s="19" t="s">
        <v>123</v>
      </c>
      <c r="V6" s="19" t="s">
        <v>124</v>
      </c>
      <c r="W6" s="19" t="s">
        <v>125</v>
      </c>
      <c r="X6" s="19" t="s">
        <v>126</v>
      </c>
      <c r="Y6" s="19" t="s">
        <v>127</v>
      </c>
      <c r="Z6" s="19" t="s">
        <v>128</v>
      </c>
      <c r="AA6" s="19" t="s">
        <v>129</v>
      </c>
      <c r="AB6" s="19" t="s">
        <v>130</v>
      </c>
      <c r="AC6" s="19" t="s">
        <v>131</v>
      </c>
      <c r="AD6" s="19" t="s">
        <v>132</v>
      </c>
      <c r="AE6" s="19" t="s">
        <v>133</v>
      </c>
      <c r="AF6" s="19" t="s">
        <v>134</v>
      </c>
      <c r="AG6" s="19" t="s">
        <v>135</v>
      </c>
      <c r="AH6" s="19" t="s">
        <v>136</v>
      </c>
      <c r="AI6" s="19" t="s">
        <v>137</v>
      </c>
      <c r="AJ6" s="19" t="s">
        <v>138</v>
      </c>
      <c r="AK6" s="21" t="s">
        <v>139</v>
      </c>
      <c r="AL6" s="21" t="s">
        <v>140</v>
      </c>
      <c r="AM6" s="9" t="s">
        <v>141</v>
      </c>
      <c r="AN6" s="9" t="s">
        <v>142</v>
      </c>
      <c r="AO6" s="9" t="s">
        <v>103</v>
      </c>
      <c r="AP6" s="10"/>
    </row>
    <row r="7" spans="1:43" ht="15.75" customHeight="1" x14ac:dyDescent="0.25">
      <c r="A7" s="11">
        <v>2</v>
      </c>
      <c r="B7" s="11" t="s">
        <v>50</v>
      </c>
      <c r="C7" s="11" t="s">
        <v>51</v>
      </c>
      <c r="D7" s="11" t="s">
        <v>52</v>
      </c>
      <c r="E7" s="11" t="s">
        <v>44</v>
      </c>
      <c r="F7" s="11" t="s">
        <v>45</v>
      </c>
      <c r="G7" s="5" t="s">
        <v>46</v>
      </c>
      <c r="H7" s="5" t="s">
        <v>46</v>
      </c>
      <c r="I7" s="5" t="s">
        <v>46</v>
      </c>
      <c r="J7" s="5" t="s">
        <v>46</v>
      </c>
      <c r="K7" s="5" t="s">
        <v>46</v>
      </c>
      <c r="L7" s="5" t="s">
        <v>46</v>
      </c>
      <c r="M7" s="6" t="s">
        <v>47</v>
      </c>
      <c r="N7" s="5" t="s">
        <v>46</v>
      </c>
      <c r="O7" s="6" t="s">
        <v>47</v>
      </c>
      <c r="P7" s="5" t="s">
        <v>46</v>
      </c>
      <c r="Q7" s="5" t="s">
        <v>46</v>
      </c>
      <c r="R7" s="5" t="s">
        <v>46</v>
      </c>
      <c r="S7" s="5" t="s">
        <v>46</v>
      </c>
      <c r="T7" s="6" t="s">
        <v>47</v>
      </c>
      <c r="U7" s="5" t="s">
        <v>46</v>
      </c>
      <c r="V7" s="5" t="s">
        <v>46</v>
      </c>
      <c r="W7" s="5" t="s">
        <v>46</v>
      </c>
      <c r="X7" s="5" t="s">
        <v>46</v>
      </c>
      <c r="Y7" s="5" t="s">
        <v>46</v>
      </c>
      <c r="Z7" s="5" t="s">
        <v>46</v>
      </c>
      <c r="AA7" s="6" t="s">
        <v>47</v>
      </c>
      <c r="AB7" s="5" t="s">
        <v>46</v>
      </c>
      <c r="AC7" s="5" t="s">
        <v>46</v>
      </c>
      <c r="AD7" s="5" t="s">
        <v>46</v>
      </c>
      <c r="AE7" s="5" t="s">
        <v>46</v>
      </c>
      <c r="AF7" s="5" t="s">
        <v>46</v>
      </c>
      <c r="AG7" s="5" t="s">
        <v>46</v>
      </c>
      <c r="AH7" s="6" t="s">
        <v>47</v>
      </c>
      <c r="AI7" s="5" t="s">
        <v>46</v>
      </c>
      <c r="AJ7" s="5" t="s">
        <v>46</v>
      </c>
      <c r="AK7" s="9">
        <f t="shared" ref="AK7:AK20" si="0">COUNTIF(G7:AJ7,"P")</f>
        <v>25</v>
      </c>
      <c r="AL7" s="9">
        <f t="shared" ref="AL7:AL20" si="1">COUNTIF(G7:AJ7,"A")</f>
        <v>0</v>
      </c>
      <c r="AM7" s="9">
        <f t="shared" ref="AM7:AM20" si="2">COUNTIF(G7:AJ7,"L")</f>
        <v>0</v>
      </c>
      <c r="AN7" s="9">
        <f t="shared" ref="AN7:AN20" si="3">COUNTIF(G7:AJ7,"H")</f>
        <v>5</v>
      </c>
      <c r="AO7" s="9">
        <f t="shared" ref="AO7:AO20" si="4">COUNTIF(G7:AJ7,"P")+COUNTIF(G7:AJ7,"A")+COUNTIF(G7:AJ7,"L")</f>
        <v>25</v>
      </c>
      <c r="AP7" s="10">
        <f t="shared" ref="AP7:AP20" si="5">IF(COUNTIF(G7:AJ7,"P")+COUNTIF(G7:AJ7,"A")+COUNTIF(G7:AJ7,"L")&gt;0,COUNTIF(G7:AJ7,"P")/(COUNTIF(G7:AJ7,"P")+COUNTIF(G7:AJ7,"A")+COUNTIF(G7:AJ7,"L")),0)</f>
        <v>1</v>
      </c>
    </row>
    <row r="8" spans="1:43" ht="15.75" customHeight="1" x14ac:dyDescent="0.25">
      <c r="A8" s="4">
        <v>3</v>
      </c>
      <c r="B8" s="4" t="s">
        <v>53</v>
      </c>
      <c r="C8" s="4" t="s">
        <v>54</v>
      </c>
      <c r="D8" s="4" t="s">
        <v>55</v>
      </c>
      <c r="E8" s="4" t="s">
        <v>48</v>
      </c>
      <c r="F8" s="4" t="s">
        <v>45</v>
      </c>
      <c r="G8" s="5" t="s">
        <v>46</v>
      </c>
      <c r="H8" s="8" t="s">
        <v>49</v>
      </c>
      <c r="I8" s="5" t="s">
        <v>46</v>
      </c>
      <c r="J8" s="5" t="s">
        <v>46</v>
      </c>
      <c r="K8" s="5" t="s">
        <v>46</v>
      </c>
      <c r="L8" s="5" t="s">
        <v>46</v>
      </c>
      <c r="M8" s="6" t="s">
        <v>47</v>
      </c>
      <c r="N8" s="5" t="s">
        <v>46</v>
      </c>
      <c r="O8" s="5" t="s">
        <v>46</v>
      </c>
      <c r="P8" s="6" t="s">
        <v>47</v>
      </c>
      <c r="Q8" s="5" t="s">
        <v>46</v>
      </c>
      <c r="R8" s="5" t="s">
        <v>46</v>
      </c>
      <c r="S8" s="5" t="s">
        <v>46</v>
      </c>
      <c r="T8" s="6" t="s">
        <v>47</v>
      </c>
      <c r="U8" s="5" t="s">
        <v>46</v>
      </c>
      <c r="V8" s="5" t="s">
        <v>46</v>
      </c>
      <c r="W8" s="5" t="s">
        <v>46</v>
      </c>
      <c r="X8" s="5" t="s">
        <v>46</v>
      </c>
      <c r="Y8" s="5" t="s">
        <v>46</v>
      </c>
      <c r="Z8" s="5" t="s">
        <v>46</v>
      </c>
      <c r="AA8" s="6" t="s">
        <v>47</v>
      </c>
      <c r="AB8" s="5" t="s">
        <v>46</v>
      </c>
      <c r="AC8" s="8" t="s">
        <v>49</v>
      </c>
      <c r="AD8" s="7" t="s">
        <v>48</v>
      </c>
      <c r="AE8" s="5" t="s">
        <v>46</v>
      </c>
      <c r="AF8" s="5" t="s">
        <v>46</v>
      </c>
      <c r="AG8" s="5" t="s">
        <v>46</v>
      </c>
      <c r="AH8" s="6" t="s">
        <v>47</v>
      </c>
      <c r="AI8" s="7" t="s">
        <v>48</v>
      </c>
      <c r="AJ8" s="5" t="s">
        <v>46</v>
      </c>
      <c r="AK8" s="9">
        <f t="shared" si="0"/>
        <v>21</v>
      </c>
      <c r="AL8" s="9">
        <f t="shared" si="1"/>
        <v>2</v>
      </c>
      <c r="AM8" s="9">
        <f t="shared" si="2"/>
        <v>2</v>
      </c>
      <c r="AN8" s="9">
        <f t="shared" si="3"/>
        <v>5</v>
      </c>
      <c r="AO8" s="9">
        <f t="shared" si="4"/>
        <v>25</v>
      </c>
      <c r="AP8" s="10">
        <f t="shared" si="5"/>
        <v>0.84</v>
      </c>
    </row>
    <row r="9" spans="1:43" ht="15.75" customHeight="1" x14ac:dyDescent="0.25">
      <c r="A9" s="11">
        <v>4</v>
      </c>
      <c r="B9" s="11" t="s">
        <v>56</v>
      </c>
      <c r="C9" s="11" t="s">
        <v>57</v>
      </c>
      <c r="D9" s="11" t="s">
        <v>58</v>
      </c>
      <c r="E9" s="11" t="s">
        <v>44</v>
      </c>
      <c r="F9" s="11" t="s">
        <v>45</v>
      </c>
      <c r="G9" s="5" t="s">
        <v>46</v>
      </c>
      <c r="H9" s="5" t="s">
        <v>46</v>
      </c>
      <c r="I9" s="5" t="s">
        <v>46</v>
      </c>
      <c r="J9" s="5" t="s">
        <v>46</v>
      </c>
      <c r="K9" s="5" t="s">
        <v>46</v>
      </c>
      <c r="L9" s="7" t="s">
        <v>48</v>
      </c>
      <c r="M9" s="6" t="s">
        <v>47</v>
      </c>
      <c r="N9" s="5" t="s">
        <v>46</v>
      </c>
      <c r="O9" s="5" t="s">
        <v>46</v>
      </c>
      <c r="P9" s="6" t="s">
        <v>47</v>
      </c>
      <c r="Q9" s="5" t="s">
        <v>46</v>
      </c>
      <c r="R9" s="5" t="s">
        <v>46</v>
      </c>
      <c r="S9" s="5" t="s">
        <v>46</v>
      </c>
      <c r="T9" s="6" t="s">
        <v>47</v>
      </c>
      <c r="U9" s="5" t="s">
        <v>46</v>
      </c>
      <c r="V9" s="5" t="s">
        <v>46</v>
      </c>
      <c r="W9" s="5" t="s">
        <v>46</v>
      </c>
      <c r="X9" s="5" t="s">
        <v>46</v>
      </c>
      <c r="Y9" s="5" t="s">
        <v>46</v>
      </c>
      <c r="Z9" s="5" t="s">
        <v>46</v>
      </c>
      <c r="AA9" s="6" t="s">
        <v>47</v>
      </c>
      <c r="AB9" s="6" t="s">
        <v>47</v>
      </c>
      <c r="AC9" s="5" t="s">
        <v>46</v>
      </c>
      <c r="AD9" s="6" t="s">
        <v>47</v>
      </c>
      <c r="AE9" s="5" t="s">
        <v>46</v>
      </c>
      <c r="AF9" s="5" t="s">
        <v>46</v>
      </c>
      <c r="AG9" s="5" t="s">
        <v>46</v>
      </c>
      <c r="AH9" s="6" t="s">
        <v>47</v>
      </c>
      <c r="AI9" s="5" t="s">
        <v>46</v>
      </c>
      <c r="AJ9" s="5" t="s">
        <v>46</v>
      </c>
      <c r="AK9" s="9">
        <f t="shared" si="0"/>
        <v>22</v>
      </c>
      <c r="AL9" s="9">
        <f t="shared" si="1"/>
        <v>1</v>
      </c>
      <c r="AM9" s="9">
        <f t="shared" si="2"/>
        <v>0</v>
      </c>
      <c r="AN9" s="9">
        <f t="shared" si="3"/>
        <v>7</v>
      </c>
      <c r="AO9" s="9">
        <f t="shared" si="4"/>
        <v>23</v>
      </c>
      <c r="AP9" s="10">
        <f t="shared" si="5"/>
        <v>0.95652173913043481</v>
      </c>
    </row>
    <row r="10" spans="1:43" ht="15.75" customHeight="1" x14ac:dyDescent="0.25">
      <c r="A10" s="4">
        <v>5</v>
      </c>
      <c r="B10" s="4" t="s">
        <v>59</v>
      </c>
      <c r="C10" s="4" t="s">
        <v>60</v>
      </c>
      <c r="D10" s="4" t="s">
        <v>61</v>
      </c>
      <c r="E10" s="4" t="s">
        <v>62</v>
      </c>
      <c r="F10" s="4" t="s">
        <v>45</v>
      </c>
      <c r="G10" s="5" t="s">
        <v>46</v>
      </c>
      <c r="H10" s="5" t="s">
        <v>46</v>
      </c>
      <c r="I10" s="5" t="s">
        <v>46</v>
      </c>
      <c r="J10" s="5" t="s">
        <v>46</v>
      </c>
      <c r="K10" s="5" t="s">
        <v>46</v>
      </c>
      <c r="L10" s="8" t="s">
        <v>49</v>
      </c>
      <c r="M10" s="6" t="s">
        <v>47</v>
      </c>
      <c r="N10" s="7" t="s">
        <v>48</v>
      </c>
      <c r="O10" s="5" t="s">
        <v>46</v>
      </c>
      <c r="P10" s="5" t="s">
        <v>46</v>
      </c>
      <c r="Q10" s="5" t="s">
        <v>46</v>
      </c>
      <c r="R10" s="7" t="s">
        <v>48</v>
      </c>
      <c r="S10" s="7" t="s">
        <v>48</v>
      </c>
      <c r="T10" s="6" t="s">
        <v>47</v>
      </c>
      <c r="U10" s="5" t="s">
        <v>46</v>
      </c>
      <c r="V10" s="5" t="s">
        <v>46</v>
      </c>
      <c r="W10" s="5" t="s">
        <v>46</v>
      </c>
      <c r="X10" s="5" t="s">
        <v>46</v>
      </c>
      <c r="Y10" s="5" t="s">
        <v>46</v>
      </c>
      <c r="Z10" s="5" t="s">
        <v>46</v>
      </c>
      <c r="AA10" s="6" t="s">
        <v>47</v>
      </c>
      <c r="AB10" s="5" t="s">
        <v>46</v>
      </c>
      <c r="AC10" s="5" t="s">
        <v>46</v>
      </c>
      <c r="AD10" s="5" t="s">
        <v>46</v>
      </c>
      <c r="AE10" s="5" t="s">
        <v>46</v>
      </c>
      <c r="AF10" s="5" t="s">
        <v>46</v>
      </c>
      <c r="AG10" s="7" t="s">
        <v>48</v>
      </c>
      <c r="AH10" s="6" t="s">
        <v>47</v>
      </c>
      <c r="AI10" s="7" t="s">
        <v>48</v>
      </c>
      <c r="AJ10" s="5" t="s">
        <v>46</v>
      </c>
      <c r="AK10" s="9">
        <f t="shared" si="0"/>
        <v>20</v>
      </c>
      <c r="AL10" s="9">
        <f t="shared" si="1"/>
        <v>5</v>
      </c>
      <c r="AM10" s="9">
        <f t="shared" si="2"/>
        <v>1</v>
      </c>
      <c r="AN10" s="9">
        <f t="shared" si="3"/>
        <v>4</v>
      </c>
      <c r="AO10" s="9">
        <f t="shared" si="4"/>
        <v>26</v>
      </c>
      <c r="AP10" s="10">
        <f t="shared" si="5"/>
        <v>0.76923076923076927</v>
      </c>
    </row>
    <row r="11" spans="1:43" ht="15.75" customHeight="1" x14ac:dyDescent="0.25">
      <c r="A11" s="11">
        <v>6</v>
      </c>
      <c r="B11" s="11" t="s">
        <v>63</v>
      </c>
      <c r="C11" s="11" t="s">
        <v>64</v>
      </c>
      <c r="D11" s="11" t="s">
        <v>65</v>
      </c>
      <c r="E11" s="11" t="s">
        <v>44</v>
      </c>
      <c r="F11" s="11" t="s">
        <v>45</v>
      </c>
      <c r="G11" s="5" t="s">
        <v>46</v>
      </c>
      <c r="H11" s="5" t="s">
        <v>46</v>
      </c>
      <c r="I11" s="7" t="s">
        <v>48</v>
      </c>
      <c r="J11" s="8" t="s">
        <v>49</v>
      </c>
      <c r="K11" s="5" t="s">
        <v>46</v>
      </c>
      <c r="L11" s="5" t="s">
        <v>46</v>
      </c>
      <c r="M11" s="6" t="s">
        <v>47</v>
      </c>
      <c r="N11" s="5" t="s">
        <v>46</v>
      </c>
      <c r="O11" s="5" t="s">
        <v>46</v>
      </c>
      <c r="P11" s="5" t="s">
        <v>46</v>
      </c>
      <c r="Q11" s="5" t="s">
        <v>46</v>
      </c>
      <c r="R11" s="5" t="s">
        <v>46</v>
      </c>
      <c r="S11" s="5" t="s">
        <v>46</v>
      </c>
      <c r="T11" s="6" t="s">
        <v>47</v>
      </c>
      <c r="U11" s="5" t="s">
        <v>46</v>
      </c>
      <c r="V11" s="7" t="s">
        <v>48</v>
      </c>
      <c r="W11" s="5" t="s">
        <v>46</v>
      </c>
      <c r="X11" s="5" t="s">
        <v>46</v>
      </c>
      <c r="Y11" s="5" t="s">
        <v>46</v>
      </c>
      <c r="Z11" s="5" t="s">
        <v>46</v>
      </c>
      <c r="AA11" s="6" t="s">
        <v>47</v>
      </c>
      <c r="AB11" s="5" t="s">
        <v>46</v>
      </c>
      <c r="AC11" s="5" t="s">
        <v>46</v>
      </c>
      <c r="AD11" s="6" t="s">
        <v>47</v>
      </c>
      <c r="AE11" s="5" t="s">
        <v>46</v>
      </c>
      <c r="AF11" s="5" t="s">
        <v>46</v>
      </c>
      <c r="AG11" s="5" t="s">
        <v>46</v>
      </c>
      <c r="AH11" s="6" t="s">
        <v>47</v>
      </c>
      <c r="AI11" s="5" t="s">
        <v>46</v>
      </c>
      <c r="AJ11" s="5" t="s">
        <v>46</v>
      </c>
      <c r="AK11" s="9">
        <f t="shared" si="0"/>
        <v>22</v>
      </c>
      <c r="AL11" s="9">
        <f t="shared" si="1"/>
        <v>2</v>
      </c>
      <c r="AM11" s="9">
        <f t="shared" si="2"/>
        <v>1</v>
      </c>
      <c r="AN11" s="9">
        <f t="shared" si="3"/>
        <v>5</v>
      </c>
      <c r="AO11" s="9">
        <f t="shared" si="4"/>
        <v>25</v>
      </c>
      <c r="AP11" s="10">
        <f t="shared" si="5"/>
        <v>0.88</v>
      </c>
    </row>
    <row r="12" spans="1:43" ht="15.75" customHeight="1" x14ac:dyDescent="0.25">
      <c r="A12" s="4">
        <v>7</v>
      </c>
      <c r="B12" s="4" t="s">
        <v>66</v>
      </c>
      <c r="C12" s="4" t="s">
        <v>67</v>
      </c>
      <c r="D12" s="4" t="s">
        <v>68</v>
      </c>
      <c r="E12" s="4" t="s">
        <v>48</v>
      </c>
      <c r="F12" s="4" t="s">
        <v>45</v>
      </c>
      <c r="G12" s="5" t="s">
        <v>46</v>
      </c>
      <c r="H12" s="5" t="s">
        <v>46</v>
      </c>
      <c r="I12" s="5" t="s">
        <v>46</v>
      </c>
      <c r="J12" s="5" t="s">
        <v>46</v>
      </c>
      <c r="K12" s="5" t="s">
        <v>46</v>
      </c>
      <c r="L12" s="5" t="s">
        <v>46</v>
      </c>
      <c r="M12" s="6" t="s">
        <v>47</v>
      </c>
      <c r="N12" s="5" t="s">
        <v>46</v>
      </c>
      <c r="O12" s="7" t="s">
        <v>48</v>
      </c>
      <c r="P12" s="5" t="s">
        <v>46</v>
      </c>
      <c r="Q12" s="5" t="s">
        <v>46</v>
      </c>
      <c r="R12" s="5" t="s">
        <v>46</v>
      </c>
      <c r="S12" s="5" t="s">
        <v>46</v>
      </c>
      <c r="T12" s="6" t="s">
        <v>47</v>
      </c>
      <c r="U12" s="5" t="s">
        <v>46</v>
      </c>
      <c r="V12" s="5" t="s">
        <v>46</v>
      </c>
      <c r="W12" s="8" t="s">
        <v>49</v>
      </c>
      <c r="X12" s="5" t="s">
        <v>46</v>
      </c>
      <c r="Y12" s="5" t="s">
        <v>46</v>
      </c>
      <c r="Z12" s="5" t="s">
        <v>46</v>
      </c>
      <c r="AA12" s="6" t="s">
        <v>47</v>
      </c>
      <c r="AB12" s="5" t="s">
        <v>46</v>
      </c>
      <c r="AC12" s="5" t="s">
        <v>46</v>
      </c>
      <c r="AD12" s="5" t="s">
        <v>46</v>
      </c>
      <c r="AE12" s="5" t="s">
        <v>46</v>
      </c>
      <c r="AF12" s="5" t="s">
        <v>46</v>
      </c>
      <c r="AG12" s="5" t="s">
        <v>46</v>
      </c>
      <c r="AH12" s="6" t="s">
        <v>47</v>
      </c>
      <c r="AI12" s="5" t="s">
        <v>46</v>
      </c>
      <c r="AJ12" s="5" t="s">
        <v>46</v>
      </c>
      <c r="AK12" s="9">
        <f t="shared" si="0"/>
        <v>24</v>
      </c>
      <c r="AL12" s="9">
        <f t="shared" si="1"/>
        <v>1</v>
      </c>
      <c r="AM12" s="9">
        <f t="shared" si="2"/>
        <v>1</v>
      </c>
      <c r="AN12" s="9">
        <f t="shared" si="3"/>
        <v>4</v>
      </c>
      <c r="AO12" s="9">
        <f t="shared" si="4"/>
        <v>26</v>
      </c>
      <c r="AP12" s="10">
        <f t="shared" si="5"/>
        <v>0.92307692307692313</v>
      </c>
    </row>
    <row r="13" spans="1:43" ht="15.75" customHeight="1" x14ac:dyDescent="0.25">
      <c r="A13" s="11">
        <v>8</v>
      </c>
      <c r="B13" s="11" t="s">
        <v>69</v>
      </c>
      <c r="C13" s="11" t="s">
        <v>70</v>
      </c>
      <c r="D13" s="11" t="s">
        <v>71</v>
      </c>
      <c r="E13" s="11" t="s">
        <v>44</v>
      </c>
      <c r="F13" s="11" t="s">
        <v>45</v>
      </c>
      <c r="G13" s="6" t="s">
        <v>47</v>
      </c>
      <c r="H13" s="5" t="s">
        <v>46</v>
      </c>
      <c r="I13" s="5" t="s">
        <v>46</v>
      </c>
      <c r="J13" s="5" t="s">
        <v>46</v>
      </c>
      <c r="K13" s="5" t="s">
        <v>46</v>
      </c>
      <c r="L13" s="5" t="s">
        <v>46</v>
      </c>
      <c r="M13" s="6" t="s">
        <v>47</v>
      </c>
      <c r="N13" s="5" t="s">
        <v>46</v>
      </c>
      <c r="O13" s="5" t="s">
        <v>46</v>
      </c>
      <c r="P13" s="5" t="s">
        <v>46</v>
      </c>
      <c r="Q13" s="5" t="s">
        <v>46</v>
      </c>
      <c r="R13" s="5" t="s">
        <v>46</v>
      </c>
      <c r="S13" s="7" t="s">
        <v>48</v>
      </c>
      <c r="T13" s="6" t="s">
        <v>47</v>
      </c>
      <c r="U13" s="5" t="s">
        <v>46</v>
      </c>
      <c r="V13" s="5" t="s">
        <v>46</v>
      </c>
      <c r="W13" s="5" t="s">
        <v>46</v>
      </c>
      <c r="X13" s="5" t="s">
        <v>46</v>
      </c>
      <c r="Y13" s="6" t="s">
        <v>47</v>
      </c>
      <c r="Z13" s="5" t="s">
        <v>46</v>
      </c>
      <c r="AA13" s="6" t="s">
        <v>47</v>
      </c>
      <c r="AB13" s="8" t="s">
        <v>49</v>
      </c>
      <c r="AC13" s="7" t="s">
        <v>48</v>
      </c>
      <c r="AD13" s="5" t="s">
        <v>46</v>
      </c>
      <c r="AE13" s="5" t="s">
        <v>46</v>
      </c>
      <c r="AF13" s="5" t="s">
        <v>46</v>
      </c>
      <c r="AG13" s="5" t="s">
        <v>46</v>
      </c>
      <c r="AH13" s="6" t="s">
        <v>47</v>
      </c>
      <c r="AI13" s="5" t="s">
        <v>46</v>
      </c>
      <c r="AJ13" s="5" t="s">
        <v>46</v>
      </c>
      <c r="AK13" s="9">
        <f t="shared" si="0"/>
        <v>21</v>
      </c>
      <c r="AL13" s="9">
        <f t="shared" si="1"/>
        <v>2</v>
      </c>
      <c r="AM13" s="9">
        <f t="shared" si="2"/>
        <v>1</v>
      </c>
      <c r="AN13" s="9">
        <f t="shared" si="3"/>
        <v>6</v>
      </c>
      <c r="AO13" s="9">
        <f t="shared" si="4"/>
        <v>24</v>
      </c>
      <c r="AP13" s="10">
        <f t="shared" si="5"/>
        <v>0.875</v>
      </c>
    </row>
    <row r="14" spans="1:43" ht="15.75" customHeight="1" x14ac:dyDescent="0.25">
      <c r="A14" s="4">
        <v>9</v>
      </c>
      <c r="B14" s="4" t="s">
        <v>72</v>
      </c>
      <c r="C14" s="4" t="s">
        <v>73</v>
      </c>
      <c r="D14" s="4" t="s">
        <v>74</v>
      </c>
      <c r="E14" s="4" t="s">
        <v>62</v>
      </c>
      <c r="F14" s="4" t="s">
        <v>45</v>
      </c>
      <c r="G14" s="5" t="s">
        <v>46</v>
      </c>
      <c r="H14" s="6" t="s">
        <v>47</v>
      </c>
      <c r="I14" s="5" t="s">
        <v>46</v>
      </c>
      <c r="J14" s="5" t="s">
        <v>46</v>
      </c>
      <c r="K14" s="5" t="s">
        <v>46</v>
      </c>
      <c r="L14" s="5" t="s">
        <v>46</v>
      </c>
      <c r="M14" s="6" t="s">
        <v>47</v>
      </c>
      <c r="N14" s="8" t="s">
        <v>49</v>
      </c>
      <c r="O14" s="6" t="s">
        <v>47</v>
      </c>
      <c r="P14" s="5" t="s">
        <v>46</v>
      </c>
      <c r="Q14" s="5" t="s">
        <v>46</v>
      </c>
      <c r="R14" s="5" t="s">
        <v>46</v>
      </c>
      <c r="S14" s="5" t="s">
        <v>46</v>
      </c>
      <c r="T14" s="6" t="s">
        <v>47</v>
      </c>
      <c r="U14" s="8" t="s">
        <v>49</v>
      </c>
      <c r="V14" s="5" t="s">
        <v>46</v>
      </c>
      <c r="W14" s="5" t="s">
        <v>46</v>
      </c>
      <c r="X14" s="5" t="s">
        <v>46</v>
      </c>
      <c r="Y14" s="5" t="s">
        <v>46</v>
      </c>
      <c r="Z14" s="5" t="s">
        <v>46</v>
      </c>
      <c r="AA14" s="6" t="s">
        <v>47</v>
      </c>
      <c r="AB14" s="5" t="s">
        <v>46</v>
      </c>
      <c r="AC14" s="5" t="s">
        <v>46</v>
      </c>
      <c r="AD14" s="5" t="s">
        <v>46</v>
      </c>
      <c r="AE14" s="8" t="s">
        <v>49</v>
      </c>
      <c r="AF14" s="5" t="s">
        <v>46</v>
      </c>
      <c r="AG14" s="5" t="s">
        <v>46</v>
      </c>
      <c r="AH14" s="6" t="s">
        <v>47</v>
      </c>
      <c r="AI14" s="5" t="s">
        <v>46</v>
      </c>
      <c r="AJ14" s="5" t="s">
        <v>46</v>
      </c>
      <c r="AK14" s="9">
        <f t="shared" si="0"/>
        <v>21</v>
      </c>
      <c r="AL14" s="9">
        <f t="shared" si="1"/>
        <v>0</v>
      </c>
      <c r="AM14" s="9">
        <f t="shared" si="2"/>
        <v>3</v>
      </c>
      <c r="AN14" s="9">
        <f t="shared" si="3"/>
        <v>6</v>
      </c>
      <c r="AO14" s="9">
        <f t="shared" si="4"/>
        <v>24</v>
      </c>
      <c r="AP14" s="10">
        <f t="shared" si="5"/>
        <v>0.875</v>
      </c>
    </row>
    <row r="15" spans="1:43" ht="15.75" customHeight="1" x14ac:dyDescent="0.25">
      <c r="A15" s="11">
        <v>10</v>
      </c>
      <c r="B15" s="11" t="s">
        <v>75</v>
      </c>
      <c r="C15" s="11" t="s">
        <v>76</v>
      </c>
      <c r="D15" s="11" t="s">
        <v>77</v>
      </c>
      <c r="E15" s="11" t="s">
        <v>44</v>
      </c>
      <c r="F15" s="11" t="s">
        <v>45</v>
      </c>
      <c r="G15" s="5" t="s">
        <v>46</v>
      </c>
      <c r="H15" s="5" t="s">
        <v>46</v>
      </c>
      <c r="I15" s="7" t="s">
        <v>48</v>
      </c>
      <c r="J15" s="5" t="s">
        <v>46</v>
      </c>
      <c r="K15" s="5" t="s">
        <v>46</v>
      </c>
      <c r="L15" s="5" t="s">
        <v>46</v>
      </c>
      <c r="M15" s="6" t="s">
        <v>47</v>
      </c>
      <c r="N15" s="5" t="s">
        <v>46</v>
      </c>
      <c r="O15" s="5" t="s">
        <v>46</v>
      </c>
      <c r="P15" s="5" t="s">
        <v>46</v>
      </c>
      <c r="Q15" s="8" t="s">
        <v>49</v>
      </c>
      <c r="R15" s="5" t="s">
        <v>46</v>
      </c>
      <c r="S15" s="5" t="s">
        <v>46</v>
      </c>
      <c r="T15" s="6" t="s">
        <v>47</v>
      </c>
      <c r="U15" s="5" t="s">
        <v>46</v>
      </c>
      <c r="V15" s="5" t="s">
        <v>46</v>
      </c>
      <c r="W15" s="5" t="s">
        <v>46</v>
      </c>
      <c r="X15" s="5" t="s">
        <v>46</v>
      </c>
      <c r="Y15" s="5" t="s">
        <v>46</v>
      </c>
      <c r="Z15" s="5" t="s">
        <v>46</v>
      </c>
      <c r="AA15" s="6" t="s">
        <v>47</v>
      </c>
      <c r="AB15" s="5" t="s">
        <v>46</v>
      </c>
      <c r="AC15" s="5" t="s">
        <v>46</v>
      </c>
      <c r="AD15" s="6" t="s">
        <v>47</v>
      </c>
      <c r="AE15" s="6" t="s">
        <v>47</v>
      </c>
      <c r="AF15" s="5" t="s">
        <v>46</v>
      </c>
      <c r="AG15" s="5" t="s">
        <v>46</v>
      </c>
      <c r="AH15" s="6" t="s">
        <v>47</v>
      </c>
      <c r="AI15" s="5" t="s">
        <v>46</v>
      </c>
      <c r="AJ15" s="8" t="s">
        <v>49</v>
      </c>
      <c r="AK15" s="9">
        <f t="shared" si="0"/>
        <v>21</v>
      </c>
      <c r="AL15" s="9">
        <f t="shared" si="1"/>
        <v>1</v>
      </c>
      <c r="AM15" s="9">
        <f t="shared" si="2"/>
        <v>2</v>
      </c>
      <c r="AN15" s="9">
        <f t="shared" si="3"/>
        <v>6</v>
      </c>
      <c r="AO15" s="9">
        <f t="shared" si="4"/>
        <v>24</v>
      </c>
      <c r="AP15" s="10">
        <f t="shared" si="5"/>
        <v>0.875</v>
      </c>
    </row>
    <row r="16" spans="1:43" ht="15.75" customHeight="1" x14ac:dyDescent="0.25">
      <c r="A16" s="4">
        <v>11</v>
      </c>
      <c r="B16" s="4" t="s">
        <v>78</v>
      </c>
      <c r="C16" s="4" t="s">
        <v>79</v>
      </c>
      <c r="D16" s="4" t="s">
        <v>80</v>
      </c>
      <c r="E16" s="4" t="s">
        <v>48</v>
      </c>
      <c r="F16" s="4" t="s">
        <v>45</v>
      </c>
      <c r="G16" s="7" t="s">
        <v>48</v>
      </c>
      <c r="H16" s="7" t="s">
        <v>48</v>
      </c>
      <c r="I16" s="5" t="s">
        <v>46</v>
      </c>
      <c r="J16" s="5" t="s">
        <v>46</v>
      </c>
      <c r="K16" s="5" t="s">
        <v>46</v>
      </c>
      <c r="L16" s="5" t="s">
        <v>46</v>
      </c>
      <c r="M16" s="6" t="s">
        <v>47</v>
      </c>
      <c r="N16" s="5" t="s">
        <v>46</v>
      </c>
      <c r="O16" s="6" t="s">
        <v>47</v>
      </c>
      <c r="P16" s="5" t="s">
        <v>46</v>
      </c>
      <c r="Q16" s="5" t="s">
        <v>46</v>
      </c>
      <c r="R16" s="5" t="s">
        <v>46</v>
      </c>
      <c r="S16" s="5" t="s">
        <v>46</v>
      </c>
      <c r="T16" s="6" t="s">
        <v>47</v>
      </c>
      <c r="U16" s="5" t="s">
        <v>46</v>
      </c>
      <c r="V16" s="8" t="s">
        <v>49</v>
      </c>
      <c r="W16" s="5" t="s">
        <v>46</v>
      </c>
      <c r="X16" s="5" t="s">
        <v>46</v>
      </c>
      <c r="Y16" s="5" t="s">
        <v>46</v>
      </c>
      <c r="Z16" s="5" t="s">
        <v>46</v>
      </c>
      <c r="AA16" s="6" t="s">
        <v>47</v>
      </c>
      <c r="AB16" s="5" t="s">
        <v>46</v>
      </c>
      <c r="AC16" s="5" t="s">
        <v>46</v>
      </c>
      <c r="AD16" s="5" t="s">
        <v>46</v>
      </c>
      <c r="AE16" s="5" t="s">
        <v>46</v>
      </c>
      <c r="AF16" s="5" t="s">
        <v>46</v>
      </c>
      <c r="AG16" s="5" t="s">
        <v>46</v>
      </c>
      <c r="AH16" s="6" t="s">
        <v>47</v>
      </c>
      <c r="AI16" s="5" t="s">
        <v>46</v>
      </c>
      <c r="AJ16" s="7" t="s">
        <v>48</v>
      </c>
      <c r="AK16" s="9">
        <f t="shared" si="0"/>
        <v>21</v>
      </c>
      <c r="AL16" s="9">
        <f t="shared" si="1"/>
        <v>3</v>
      </c>
      <c r="AM16" s="9">
        <f t="shared" si="2"/>
        <v>1</v>
      </c>
      <c r="AN16" s="9">
        <f t="shared" si="3"/>
        <v>5</v>
      </c>
      <c r="AO16" s="9">
        <f t="shared" si="4"/>
        <v>25</v>
      </c>
      <c r="AP16" s="10">
        <f t="shared" si="5"/>
        <v>0.84</v>
      </c>
    </row>
    <row r="17" spans="1:43" ht="15.75" customHeight="1" x14ac:dyDescent="0.25">
      <c r="A17" s="11">
        <v>12</v>
      </c>
      <c r="B17" s="11" t="s">
        <v>81</v>
      </c>
      <c r="C17" s="11" t="s">
        <v>82</v>
      </c>
      <c r="D17" s="11" t="s">
        <v>83</v>
      </c>
      <c r="E17" s="11" t="s">
        <v>44</v>
      </c>
      <c r="F17" s="11" t="s">
        <v>45</v>
      </c>
      <c r="G17" s="5" t="s">
        <v>46</v>
      </c>
      <c r="H17" s="5" t="s">
        <v>46</v>
      </c>
      <c r="I17" s="5" t="s">
        <v>46</v>
      </c>
      <c r="J17" s="5" t="s">
        <v>46</v>
      </c>
      <c r="K17" s="5" t="s">
        <v>46</v>
      </c>
      <c r="L17" s="5" t="s">
        <v>46</v>
      </c>
      <c r="M17" s="6" t="s">
        <v>47</v>
      </c>
      <c r="N17" s="5" t="s">
        <v>46</v>
      </c>
      <c r="O17" s="5" t="s">
        <v>46</v>
      </c>
      <c r="P17" s="5" t="s">
        <v>46</v>
      </c>
      <c r="Q17" s="5" t="s">
        <v>46</v>
      </c>
      <c r="R17" s="5" t="s">
        <v>46</v>
      </c>
      <c r="S17" s="5" t="s">
        <v>46</v>
      </c>
      <c r="T17" s="6" t="s">
        <v>47</v>
      </c>
      <c r="U17" s="5" t="s">
        <v>46</v>
      </c>
      <c r="V17" s="7" t="s">
        <v>48</v>
      </c>
      <c r="W17" s="7" t="s">
        <v>48</v>
      </c>
      <c r="X17" s="5" t="s">
        <v>46</v>
      </c>
      <c r="Y17" s="5" t="s">
        <v>46</v>
      </c>
      <c r="Z17" s="5" t="s">
        <v>46</v>
      </c>
      <c r="AA17" s="6" t="s">
        <v>47</v>
      </c>
      <c r="AB17" s="5" t="s">
        <v>46</v>
      </c>
      <c r="AC17" s="5" t="s">
        <v>46</v>
      </c>
      <c r="AD17" s="5" t="s">
        <v>46</v>
      </c>
      <c r="AE17" s="7" t="s">
        <v>48</v>
      </c>
      <c r="AF17" s="5" t="s">
        <v>46</v>
      </c>
      <c r="AG17" s="5" t="s">
        <v>46</v>
      </c>
      <c r="AH17" s="6" t="s">
        <v>47</v>
      </c>
      <c r="AI17" s="7" t="s">
        <v>48</v>
      </c>
      <c r="AJ17" s="5" t="s">
        <v>46</v>
      </c>
      <c r="AK17" s="9">
        <f t="shared" si="0"/>
        <v>22</v>
      </c>
      <c r="AL17" s="9">
        <f t="shared" si="1"/>
        <v>4</v>
      </c>
      <c r="AM17" s="9">
        <f t="shared" si="2"/>
        <v>0</v>
      </c>
      <c r="AN17" s="9">
        <f t="shared" si="3"/>
        <v>4</v>
      </c>
      <c r="AO17" s="9">
        <f t="shared" si="4"/>
        <v>26</v>
      </c>
      <c r="AP17" s="10">
        <f t="shared" si="5"/>
        <v>0.84615384615384615</v>
      </c>
    </row>
    <row r="18" spans="1:43" ht="15.75" customHeight="1" x14ac:dyDescent="0.25">
      <c r="A18" s="4">
        <v>13</v>
      </c>
      <c r="B18" s="4" t="s">
        <v>84</v>
      </c>
      <c r="C18" s="4" t="s">
        <v>85</v>
      </c>
      <c r="D18" s="4" t="s">
        <v>77</v>
      </c>
      <c r="E18" s="4" t="s">
        <v>62</v>
      </c>
      <c r="F18" s="4" t="s">
        <v>45</v>
      </c>
      <c r="G18" s="5" t="s">
        <v>46</v>
      </c>
      <c r="H18" s="5" t="s">
        <v>46</v>
      </c>
      <c r="I18" s="5" t="s">
        <v>46</v>
      </c>
      <c r="J18" s="7" t="s">
        <v>48</v>
      </c>
      <c r="K18" s="5" t="s">
        <v>46</v>
      </c>
      <c r="L18" s="5" t="s">
        <v>46</v>
      </c>
      <c r="M18" s="6" t="s">
        <v>47</v>
      </c>
      <c r="N18" s="5" t="s">
        <v>46</v>
      </c>
      <c r="O18" s="7" t="s">
        <v>48</v>
      </c>
      <c r="P18" s="5" t="s">
        <v>46</v>
      </c>
      <c r="Q18" s="6" t="s">
        <v>47</v>
      </c>
      <c r="R18" s="5" t="s">
        <v>46</v>
      </c>
      <c r="S18" s="7" t="s">
        <v>48</v>
      </c>
      <c r="T18" s="6" t="s">
        <v>47</v>
      </c>
      <c r="U18" s="5" t="s">
        <v>46</v>
      </c>
      <c r="V18" s="5" t="s">
        <v>46</v>
      </c>
      <c r="W18" s="5" t="s">
        <v>46</v>
      </c>
      <c r="X18" s="8" t="s">
        <v>49</v>
      </c>
      <c r="Y18" s="5" t="s">
        <v>46</v>
      </c>
      <c r="Z18" s="5" t="s">
        <v>46</v>
      </c>
      <c r="AA18" s="6" t="s">
        <v>47</v>
      </c>
      <c r="AB18" s="5" t="s">
        <v>46</v>
      </c>
      <c r="AC18" s="5" t="s">
        <v>46</v>
      </c>
      <c r="AD18" s="5" t="s">
        <v>46</v>
      </c>
      <c r="AE18" s="5" t="s">
        <v>46</v>
      </c>
      <c r="AF18" s="7" t="s">
        <v>48</v>
      </c>
      <c r="AG18" s="5" t="s">
        <v>46</v>
      </c>
      <c r="AH18" s="6" t="s">
        <v>47</v>
      </c>
      <c r="AI18" s="5" t="s">
        <v>46</v>
      </c>
      <c r="AJ18" s="5" t="s">
        <v>46</v>
      </c>
      <c r="AK18" s="9">
        <f t="shared" si="0"/>
        <v>20</v>
      </c>
      <c r="AL18" s="9">
        <f t="shared" si="1"/>
        <v>4</v>
      </c>
      <c r="AM18" s="9">
        <f t="shared" si="2"/>
        <v>1</v>
      </c>
      <c r="AN18" s="9">
        <f t="shared" si="3"/>
        <v>5</v>
      </c>
      <c r="AO18" s="9">
        <f t="shared" si="4"/>
        <v>25</v>
      </c>
      <c r="AP18" s="10">
        <f t="shared" si="5"/>
        <v>0.8</v>
      </c>
    </row>
    <row r="19" spans="1:43" ht="15.75" customHeight="1" x14ac:dyDescent="0.25">
      <c r="A19" s="11">
        <v>14</v>
      </c>
      <c r="B19" s="11" t="s">
        <v>86</v>
      </c>
      <c r="C19" s="11" t="s">
        <v>87</v>
      </c>
      <c r="D19" s="11" t="s">
        <v>88</v>
      </c>
      <c r="E19" s="11" t="s">
        <v>44</v>
      </c>
      <c r="F19" s="11" t="s">
        <v>45</v>
      </c>
      <c r="G19" s="5" t="s">
        <v>46</v>
      </c>
      <c r="H19" s="5" t="s">
        <v>46</v>
      </c>
      <c r="I19" s="5" t="s">
        <v>46</v>
      </c>
      <c r="J19" s="5" t="s">
        <v>46</v>
      </c>
      <c r="K19" s="5" t="s">
        <v>46</v>
      </c>
      <c r="L19" s="5" t="s">
        <v>46</v>
      </c>
      <c r="M19" s="6" t="s">
        <v>47</v>
      </c>
      <c r="N19" s="5" t="s">
        <v>46</v>
      </c>
      <c r="O19" s="5" t="s">
        <v>46</v>
      </c>
      <c r="P19" s="8" t="s">
        <v>49</v>
      </c>
      <c r="Q19" s="5" t="s">
        <v>46</v>
      </c>
      <c r="R19" s="5" t="s">
        <v>46</v>
      </c>
      <c r="S19" s="5" t="s">
        <v>46</v>
      </c>
      <c r="T19" s="6" t="s">
        <v>47</v>
      </c>
      <c r="U19" s="6" t="s">
        <v>47</v>
      </c>
      <c r="V19" s="5" t="s">
        <v>46</v>
      </c>
      <c r="W19" s="8" t="s">
        <v>49</v>
      </c>
      <c r="X19" s="5" t="s">
        <v>46</v>
      </c>
      <c r="Y19" s="6" t="s">
        <v>47</v>
      </c>
      <c r="Z19" s="5" t="s">
        <v>46</v>
      </c>
      <c r="AA19" s="6" t="s">
        <v>47</v>
      </c>
      <c r="AB19" s="8" t="s">
        <v>49</v>
      </c>
      <c r="AC19" s="5" t="s">
        <v>46</v>
      </c>
      <c r="AD19" s="5" t="s">
        <v>46</v>
      </c>
      <c r="AE19" s="5" t="s">
        <v>46</v>
      </c>
      <c r="AF19" s="5" t="s">
        <v>46</v>
      </c>
      <c r="AG19" s="5" t="s">
        <v>46</v>
      </c>
      <c r="AH19" s="6" t="s">
        <v>47</v>
      </c>
      <c r="AI19" s="5" t="s">
        <v>46</v>
      </c>
      <c r="AJ19" s="5" t="s">
        <v>46</v>
      </c>
      <c r="AK19" s="9">
        <f t="shared" si="0"/>
        <v>21</v>
      </c>
      <c r="AL19" s="9">
        <f t="shared" si="1"/>
        <v>0</v>
      </c>
      <c r="AM19" s="9">
        <f t="shared" si="2"/>
        <v>3</v>
      </c>
      <c r="AN19" s="9">
        <f t="shared" si="3"/>
        <v>6</v>
      </c>
      <c r="AO19" s="9">
        <f t="shared" si="4"/>
        <v>24</v>
      </c>
      <c r="AP19" s="10">
        <f t="shared" si="5"/>
        <v>0.875</v>
      </c>
    </row>
    <row r="20" spans="1:43" ht="15.75" customHeight="1" x14ac:dyDescent="0.25">
      <c r="A20" s="4">
        <v>15</v>
      </c>
      <c r="B20" s="4" t="s">
        <v>89</v>
      </c>
      <c r="C20" s="4" t="s">
        <v>90</v>
      </c>
      <c r="D20" s="4" t="s">
        <v>91</v>
      </c>
      <c r="E20" s="4" t="s">
        <v>48</v>
      </c>
      <c r="F20" s="4" t="s">
        <v>45</v>
      </c>
      <c r="G20" s="5" t="s">
        <v>46</v>
      </c>
      <c r="H20" s="5" t="s">
        <v>46</v>
      </c>
      <c r="I20" s="5" t="s">
        <v>46</v>
      </c>
      <c r="J20" s="5" t="s">
        <v>46</v>
      </c>
      <c r="K20" s="5" t="s">
        <v>46</v>
      </c>
      <c r="L20" s="7" t="s">
        <v>48</v>
      </c>
      <c r="M20" s="6" t="s">
        <v>47</v>
      </c>
      <c r="N20" s="5" t="s">
        <v>46</v>
      </c>
      <c r="O20" s="5" t="s">
        <v>46</v>
      </c>
      <c r="P20" s="5" t="s">
        <v>46</v>
      </c>
      <c r="Q20" s="5" t="s">
        <v>46</v>
      </c>
      <c r="R20" s="5" t="s">
        <v>46</v>
      </c>
      <c r="S20" s="5" t="s">
        <v>46</v>
      </c>
      <c r="T20" s="6" t="s">
        <v>47</v>
      </c>
      <c r="U20" s="5" t="s">
        <v>46</v>
      </c>
      <c r="V20" s="5" t="s">
        <v>46</v>
      </c>
      <c r="W20" s="5" t="s">
        <v>46</v>
      </c>
      <c r="X20" s="5" t="s">
        <v>46</v>
      </c>
      <c r="Y20" s="5" t="s">
        <v>46</v>
      </c>
      <c r="Z20" s="5" t="s">
        <v>46</v>
      </c>
      <c r="AA20" s="6" t="s">
        <v>47</v>
      </c>
      <c r="AB20" s="5" t="s">
        <v>46</v>
      </c>
      <c r="AC20" s="5" t="s">
        <v>46</v>
      </c>
      <c r="AD20" s="5" t="s">
        <v>46</v>
      </c>
      <c r="AE20" s="5" t="s">
        <v>46</v>
      </c>
      <c r="AF20" s="5" t="s">
        <v>46</v>
      </c>
      <c r="AG20" s="5" t="s">
        <v>46</v>
      </c>
      <c r="AH20" s="6" t="s">
        <v>47</v>
      </c>
      <c r="AI20" s="8" t="s">
        <v>49</v>
      </c>
      <c r="AJ20" s="5" t="s">
        <v>46</v>
      </c>
      <c r="AK20" s="9">
        <f t="shared" si="0"/>
        <v>24</v>
      </c>
      <c r="AL20" s="9">
        <f t="shared" si="1"/>
        <v>1</v>
      </c>
      <c r="AM20" s="9">
        <f t="shared" si="2"/>
        <v>1</v>
      </c>
      <c r="AN20" s="9">
        <f t="shared" si="3"/>
        <v>4</v>
      </c>
      <c r="AO20" s="9">
        <f t="shared" si="4"/>
        <v>26</v>
      </c>
      <c r="AP20" s="10">
        <f t="shared" si="5"/>
        <v>0.92307692307692313</v>
      </c>
    </row>
    <row r="21" spans="1:43" ht="18" customHeight="1" x14ac:dyDescent="0.25">
      <c r="A21" s="25" t="s">
        <v>92</v>
      </c>
      <c r="B21" s="25"/>
      <c r="C21" s="25"/>
      <c r="D21" s="25"/>
      <c r="E21" s="25"/>
      <c r="F21" s="25"/>
      <c r="AK21" s="12">
        <f t="shared" ref="AK21:AP21" si="6">SUM(AK6:AK20)</f>
        <v>305</v>
      </c>
      <c r="AL21" s="12">
        <f t="shared" si="6"/>
        <v>26</v>
      </c>
      <c r="AM21" s="12">
        <f t="shared" si="6"/>
        <v>17</v>
      </c>
      <c r="AN21" s="12">
        <f t="shared" si="6"/>
        <v>72</v>
      </c>
      <c r="AO21" s="12">
        <f t="shared" si="6"/>
        <v>348</v>
      </c>
      <c r="AP21" s="13">
        <f t="shared" si="6"/>
        <v>12.278060200668898</v>
      </c>
    </row>
    <row r="23" spans="1:43" ht="18" customHeight="1" x14ac:dyDescent="0.25">
      <c r="A23" s="26" t="s">
        <v>93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</row>
    <row r="24" spans="1:43" ht="18" customHeight="1" x14ac:dyDescent="0.25">
      <c r="A24" s="14" t="s">
        <v>46</v>
      </c>
      <c r="B24" s="27" t="s">
        <v>94</v>
      </c>
      <c r="C24" s="27"/>
      <c r="D24" s="27"/>
      <c r="E24" s="15" t="s">
        <v>48</v>
      </c>
      <c r="F24" s="28" t="s">
        <v>95</v>
      </c>
      <c r="G24" s="28"/>
      <c r="H24" s="28"/>
      <c r="I24" s="16" t="s">
        <v>49</v>
      </c>
      <c r="J24" s="29" t="s">
        <v>96</v>
      </c>
      <c r="K24" s="29"/>
      <c r="L24" s="29"/>
      <c r="M24" s="17" t="s">
        <v>47</v>
      </c>
      <c r="N24" s="30" t="s">
        <v>97</v>
      </c>
      <c r="O24" s="30"/>
      <c r="P24" s="30"/>
    </row>
    <row r="26" spans="1:43" ht="31.5" customHeight="1" x14ac:dyDescent="0.25">
      <c r="A26" s="22" t="s">
        <v>98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</row>
    <row r="28" spans="1:43" ht="19.5" customHeight="1" x14ac:dyDescent="0.25">
      <c r="A28" s="23" t="s">
        <v>99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 t="s">
        <v>100</v>
      </c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 t="s">
        <v>101</v>
      </c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</row>
  </sheetData>
  <mergeCells count="17">
    <mergeCell ref="A1:AQ1"/>
    <mergeCell ref="A2:AQ2"/>
    <mergeCell ref="A3:C3"/>
    <mergeCell ref="D3:I3"/>
    <mergeCell ref="J3:L3"/>
    <mergeCell ref="M3:Q3"/>
    <mergeCell ref="A26:AQ26"/>
    <mergeCell ref="A28:N28"/>
    <mergeCell ref="O28:AB28"/>
    <mergeCell ref="AC28:AP28"/>
    <mergeCell ref="A4:AQ4"/>
    <mergeCell ref="A21:F21"/>
    <mergeCell ref="A23:AQ23"/>
    <mergeCell ref="B24:D24"/>
    <mergeCell ref="F24:H24"/>
    <mergeCell ref="J24:L24"/>
    <mergeCell ref="N24:P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 Register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Sayed Iftekhar Ali</cp:lastModifiedBy>
  <cp:revision>0</cp:revision>
  <dcterms:created xsi:type="dcterms:W3CDTF">2026-05-19T20:03:07Z</dcterms:created>
  <dcterms:modified xsi:type="dcterms:W3CDTF">2026-05-30T20:36:30Z</dcterms:modified>
  <dc:language>en-US</dc:language>
</cp:coreProperties>
</file>