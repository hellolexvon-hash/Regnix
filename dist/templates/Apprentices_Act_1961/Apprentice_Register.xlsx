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e3616b9c73ea01/Desktop/Regnix forms and register/Apprentices_Act_1961/"/>
    </mc:Choice>
  </mc:AlternateContent>
  <xr:revisionPtr revIDLastSave="54" documentId="11_AA931EBE40C6CF9ABED5D959F11E05F7671CE501" xr6:coauthVersionLast="47" xr6:coauthVersionMax="47" xr10:uidLastSave="{B58A301E-DE4D-4270-B171-8C87EA747991}"/>
  <bookViews>
    <workbookView xWindow="-120" yWindow="-120" windowWidth="20730" windowHeight="11040" tabRatio="500" xr2:uid="{00000000-000D-0000-FFFF-FFFF00000000}"/>
  </bookViews>
  <sheets>
    <sheet name="Apprentice Registe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9" i="1" l="1"/>
  <c r="G28" i="1"/>
  <c r="G27" i="1"/>
  <c r="G26" i="1"/>
  <c r="G25" i="1"/>
  <c r="G24" i="1"/>
  <c r="G23" i="1"/>
  <c r="G22" i="1"/>
</calcChain>
</file>

<file path=xl/sharedStrings.xml><?xml version="1.0" encoding="utf-8"?>
<sst xmlns="http://schemas.openxmlformats.org/spreadsheetml/2006/main" count="265" uniqueCount="195">
  <si>
    <t>APPRENTICE REGISTER</t>
  </si>
  <si>
    <t>The Apprentices Act, 1961 – Section 18 | The Apprenticeship Rules, 1992 – Rule 13 | Form AA-1</t>
  </si>
  <si>
    <t xml:space="preserve">Establishment Name: </t>
  </si>
  <si>
    <t>Sl.
No.</t>
  </si>
  <si>
    <t>Apprentice
Full Name</t>
  </si>
  <si>
    <t>Registration
No.
(NAPS/BOAT)</t>
  </si>
  <si>
    <t>Date of
Birth</t>
  </si>
  <si>
    <t>Gender
(M/F/T)</t>
  </si>
  <si>
    <t>Category
(SC/ST/
OBC/GEN/
PwD)</t>
  </si>
  <si>
    <t>Educational
Qualification</t>
  </si>
  <si>
    <t>Trade /
Discipline</t>
  </si>
  <si>
    <t>Type of
Apprenticeship
(Trade/
Graduate/
Technician)</t>
  </si>
  <si>
    <t>Duration of
Apprenticeship
(Months)</t>
  </si>
  <si>
    <t>Date of
Commencement</t>
  </si>
  <si>
    <t>Date of
Completion
(Expected)</t>
  </si>
  <si>
    <t>Aadhar
No.</t>
  </si>
  <si>
    <t>Guardian /
Parent Name</t>
  </si>
  <si>
    <t>Contact
Number</t>
  </si>
  <si>
    <t>Address</t>
  </si>
  <si>
    <t>Current
Status
(Active/
Completed/
Terminated)</t>
  </si>
  <si>
    <t>Remarks</t>
  </si>
  <si>
    <t>M</t>
  </si>
  <si>
    <t>OBC</t>
  </si>
  <si>
    <t>Trade Apprentice</t>
  </si>
  <si>
    <t>01-Apr-2024</t>
  </si>
  <si>
    <t>31-Mar-2026</t>
  </si>
  <si>
    <t>Active</t>
  </si>
  <si>
    <t>Priya Devi Nair</t>
  </si>
  <si>
    <t>NAPS-2024-0002</t>
  </si>
  <si>
    <t>22-Aug-2003</t>
  </si>
  <si>
    <t>F</t>
  </si>
  <si>
    <t>GEN</t>
  </si>
  <si>
    <t>Diploma in ECE</t>
  </si>
  <si>
    <t>Electronic Mechanic</t>
  </si>
  <si>
    <t>Technician Apprentice</t>
  </si>
  <si>
    <t>30-Sep-2025</t>
  </si>
  <si>
    <t>4567 8901 2345</t>
  </si>
  <si>
    <t>P.R. Nair</t>
  </si>
  <si>
    <t>9876543211</t>
  </si>
  <si>
    <t>34, Brigade Road, Bengaluru – 560025</t>
  </si>
  <si>
    <t>Suresh Yadav</t>
  </si>
  <si>
    <t>NAPS-2024-0003</t>
  </si>
  <si>
    <t>10-Jan-2002</t>
  </si>
  <si>
    <t>SC</t>
  </si>
  <si>
    <t>ITI – Fitter</t>
  </si>
  <si>
    <t>Fitter</t>
  </si>
  <si>
    <t>31-Mar-2025</t>
  </si>
  <si>
    <t>5678 9012 3456</t>
  </si>
  <si>
    <t>R. Yadav</t>
  </si>
  <si>
    <t>9876543212</t>
  </si>
  <si>
    <t>78, Whitefield, Bengaluru – 560066</t>
  </si>
  <si>
    <t>Anita Singh Rajput</t>
  </si>
  <si>
    <t>NAPS-2024-0004</t>
  </si>
  <si>
    <t>05-Mar-2003</t>
  </si>
  <si>
    <t>B.E. Mechanical</t>
  </si>
  <si>
    <t>Maintenance Engineer</t>
  </si>
  <si>
    <t>Graduate Apprentice</t>
  </si>
  <si>
    <t>6789 0123 4567</t>
  </si>
  <si>
    <t>V. Singh</t>
  </si>
  <si>
    <t>9876543213</t>
  </si>
  <si>
    <t>56, Koramangala, Bengaluru – 560034</t>
  </si>
  <si>
    <t>Mohammed Irfan</t>
  </si>
  <si>
    <t>NAPS-2024-0005</t>
  </si>
  <si>
    <t>18-Nov-2002</t>
  </si>
  <si>
    <t>ITI – Welder</t>
  </si>
  <si>
    <t>Welder</t>
  </si>
  <si>
    <t>7890 1234 5678</t>
  </si>
  <si>
    <t>A. Irfan</t>
  </si>
  <si>
    <t>9876543214</t>
  </si>
  <si>
    <t>23, Shivajinagar, Bengaluru – 560051</t>
  </si>
  <si>
    <t>Lalitha Kumari</t>
  </si>
  <si>
    <t>NAPS-2024-0006</t>
  </si>
  <si>
    <t>30-Jul-2003</t>
  </si>
  <si>
    <t>ST</t>
  </si>
  <si>
    <t>12th Pass (Commerce)</t>
  </si>
  <si>
    <t>Draughtsman (Civil)</t>
  </si>
  <si>
    <t>8901 2345 6789</t>
  </si>
  <si>
    <t>S. Kumari</t>
  </si>
  <si>
    <t>9876543215</t>
  </si>
  <si>
    <t>89, JP Nagar, Bengaluru – 560078</t>
  </si>
  <si>
    <t>Deepak Patel</t>
  </si>
  <si>
    <t>NAPS-2024-0007</t>
  </si>
  <si>
    <t>12-Apr-2002</t>
  </si>
  <si>
    <t>Diploma in Mech.</t>
  </si>
  <si>
    <t>Mechanic Machine Tool Maint.</t>
  </si>
  <si>
    <t>9012 3456 7890</t>
  </si>
  <si>
    <t>H. Patel</t>
  </si>
  <si>
    <t>9876543216</t>
  </si>
  <si>
    <t>45, HSR Layout, Bengaluru – 560102</t>
  </si>
  <si>
    <t>Kavitha Reddy</t>
  </si>
  <si>
    <t>NAPS-2024-0008</t>
  </si>
  <si>
    <t>07-Feb-2003</t>
  </si>
  <si>
    <t>B.Sc. Chemistry</t>
  </si>
  <si>
    <t>Lab Technician</t>
  </si>
  <si>
    <t>0123 4567 8901</t>
  </si>
  <si>
    <t>L. Reddy</t>
  </si>
  <si>
    <t>9876543217</t>
  </si>
  <si>
    <t>67, Marathahalli, Bengaluru – 560037</t>
  </si>
  <si>
    <t>Vinod Tiwari</t>
  </si>
  <si>
    <t>NAPS-2024-0009</t>
  </si>
  <si>
    <t>25-Sep-2001</t>
  </si>
  <si>
    <t>ITI – Turner</t>
  </si>
  <si>
    <t>Turner</t>
  </si>
  <si>
    <t>1234 5678 9012</t>
  </si>
  <si>
    <t>M. Tiwari</t>
  </si>
  <si>
    <t>9876543218</t>
  </si>
  <si>
    <t>90, Rajajinagar, Bengaluru – 560010</t>
  </si>
  <si>
    <t>Sunita Verma</t>
  </si>
  <si>
    <t>NAPS-2024-0010</t>
  </si>
  <si>
    <t>14-Dec-2003</t>
  </si>
  <si>
    <t>Diploma in CS</t>
  </si>
  <si>
    <t>COPA (Computer Operator)</t>
  </si>
  <si>
    <t>2345 6789 0123</t>
  </si>
  <si>
    <t>G. Verma</t>
  </si>
  <si>
    <t>9876543219</t>
  </si>
  <si>
    <t>11, Malleshwaram, Bengaluru – 560003</t>
  </si>
  <si>
    <t>Arun Menon</t>
  </si>
  <si>
    <t>NAPS-2024-0011</t>
  </si>
  <si>
    <t>09-Oct-2002</t>
  </si>
  <si>
    <t>B.E. Civil</t>
  </si>
  <si>
    <t>Civil Engineering</t>
  </si>
  <si>
    <t>3456 7890 1235</t>
  </si>
  <si>
    <t>N. Menon</t>
  </si>
  <si>
    <t>9876543220</t>
  </si>
  <si>
    <t>32, Indiranagar, Bengaluru – 560038</t>
  </si>
  <si>
    <t>Pooja Sharma</t>
  </si>
  <si>
    <t>NAPS-2024-0012</t>
  </si>
  <si>
    <t>20-May-2003</t>
  </si>
  <si>
    <t>ITI – Stenography</t>
  </si>
  <si>
    <t>Stenographer (Hindi)</t>
  </si>
  <si>
    <t>4567 8901 2346</t>
  </si>
  <si>
    <t>R. Sharma</t>
  </si>
  <si>
    <t>9876543221</t>
  </si>
  <si>
    <t>55, Yelahanka, Bengaluru – 560064</t>
  </si>
  <si>
    <t>Ramesh Babu</t>
  </si>
  <si>
    <t>NAPS-2024-0013</t>
  </si>
  <si>
    <t>03-Jan-2002</t>
  </si>
  <si>
    <t>ITI – COPA</t>
  </si>
  <si>
    <t>COPA</t>
  </si>
  <si>
    <t>5678 9012 3457</t>
  </si>
  <si>
    <t>P. Babu</t>
  </si>
  <si>
    <t>9876543222</t>
  </si>
  <si>
    <t>77, Hebbal, Bengaluru – 560024</t>
  </si>
  <si>
    <t>Nisha Joshi</t>
  </si>
  <si>
    <t>NAPS-2024-0014</t>
  </si>
  <si>
    <t>17-Aug-2003</t>
  </si>
  <si>
    <t>B.Tech IT</t>
  </si>
  <si>
    <t>IT Apprentice</t>
  </si>
  <si>
    <t>6789 0123 4568</t>
  </si>
  <si>
    <t>C. Joshi</t>
  </si>
  <si>
    <t>9876543223</t>
  </si>
  <si>
    <t>22, Electronic City, Bengaluru – 560100</t>
  </si>
  <si>
    <t>Santosh Gupta</t>
  </si>
  <si>
    <t>NAPS-2024-0015</t>
  </si>
  <si>
    <t>28-Jun-2002</t>
  </si>
  <si>
    <t>ITI – Machinist</t>
  </si>
  <si>
    <t>Machinist</t>
  </si>
  <si>
    <t>7890 1234 5679</t>
  </si>
  <si>
    <t>B. Gupta</t>
  </si>
  <si>
    <t>9876543224</t>
  </si>
  <si>
    <t>44, Bannerghatta Road, Bengaluru – 560076</t>
  </si>
  <si>
    <t>APPRENTICE SUMMARY</t>
  </si>
  <si>
    <t>Total Apprentices Registered:</t>
  </si>
  <si>
    <t>Trade Apprentices:</t>
  </si>
  <si>
    <t>Graduate Apprentices:</t>
  </si>
  <si>
    <t>Technician Apprentices:</t>
  </si>
  <si>
    <t>Currently Active:</t>
  </si>
  <si>
    <t>Male:</t>
  </si>
  <si>
    <t>Female:</t>
  </si>
  <si>
    <t>SC/ST Category:</t>
  </si>
  <si>
    <t>Certified that this register is maintained as per Section 18 of the Apprentices Act, 1961 and Rule 13 of the Apprenticeship Rules, 1992. All apprentices are registered on the NAPS/BOAT portal.</t>
  </si>
  <si>
    <t>Apprenticeship Supervisor</t>
  </si>
  <si>
    <t>HR / Training Manager</t>
  </si>
  <si>
    <t>Authorised Signatory</t>
  </si>
  <si>
    <t>A</t>
  </si>
  <si>
    <t>Register No.:</t>
  </si>
  <si>
    <t>OK</t>
  </si>
  <si>
    <t>CI</t>
  </si>
  <si>
    <t>AA</t>
  </si>
  <si>
    <t>SV</t>
  </si>
  <si>
    <t>QB</t>
  </si>
  <si>
    <t>QC</t>
  </si>
  <si>
    <t>AU</t>
  </si>
  <si>
    <t>AT</t>
  </si>
  <si>
    <t>QD</t>
  </si>
  <si>
    <t>QY</t>
  </si>
  <si>
    <t>QZ</t>
  </si>
  <si>
    <t>BX</t>
  </si>
  <si>
    <t>BU</t>
  </si>
  <si>
    <t>CP</t>
  </si>
  <si>
    <t>QJ</t>
  </si>
  <si>
    <t>QU</t>
  </si>
  <si>
    <t>SI</t>
  </si>
  <si>
    <t>OA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</si>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</sst>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8"/>
      <color rgb="FF1F1F1F"/>
      <name val="Arial"/>
      <family val="2"/>
    </font>
    <font>
      <b/>
      <sz val="8"/>
      <color rgb="FFFFFFFF"/>
      <name val="Arial"/>
      <family val="2"/>
    </font>
    <font>
      <sz val="9"/>
      <color rgb="FF1F1F1F"/>
      <name val="Arial"/>
      <family val="2"/>
    </font>
    <font>
      <b/>
      <sz val="9"/>
      <color rgb="FF375623"/>
      <name val="Arial"/>
      <family val="2"/>
    </font>
    <font>
      <b/>
      <sz val="9"/>
      <color rgb="FFFFFFFF"/>
      <name val="Arial"/>
      <family val="2"/>
    </font>
    <font>
      <b/>
      <sz val="9"/>
      <color rgb="FF1F1F1F"/>
      <name val="Arial"/>
      <family val="2"/>
    </font>
    <font>
      <b/>
      <sz val="10"/>
      <color rgb="FF1F1F1F"/>
      <name val="Arial"/>
      <family val="2"/>
    </font>
    <font>
      <i/>
      <sz val="8"/>
      <color rgb="FF1F1F1F"/>
      <name val="Arial"/>
      <family val="2"/>
    </font>
    <font>
      <sz val="9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A3052"/>
        <bgColor rgb="FF1F1F1F"/>
      </patternFill>
    </fill>
    <fill>
      <patternFill patternType="solid">
        <fgColor rgb="FF2E6DA4"/>
        <bgColor rgb="FF3366FF"/>
      </patternFill>
    </fill>
    <fill>
      <patternFill patternType="solid">
        <fgColor rgb="FFFFF2CC"/>
        <bgColor rgb="FFF2F2F2"/>
      </patternFill>
    </fill>
    <fill>
      <patternFill patternType="solid">
        <fgColor rgb="FFDEEAF1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DEEAF1"/>
      </patternFill>
    </fill>
    <fill>
      <patternFill patternType="solid">
        <fgColor rgb="FFD9D9D9"/>
        <bgColor rgb="FFDEEAF1"/>
      </patternFill>
    </fill>
  </fills>
  <borders count="8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10" fillId="4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11" fillId="0" borderId="3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2E6DA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A3052"/>
      <rgbColor rgb="FF339966"/>
      <rgbColor rgb="FF003300"/>
      <rgbColor rgb="FF375623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showGridLines="0" tabSelected="1" topLeftCell="K1" zoomScaleNormal="100" workbookViewId="0">
      <selection activeCell="A3" sqref="A3:Q3"/>
    </sheetView>
  </sheetViews>
  <sheetFormatPr defaultColWidth="8.7109375" defaultRowHeight="15" x14ac:dyDescent="0.25"/>
  <cols>
    <col min="1" max="1" width="5" customWidth="1"/>
    <col min="2" max="2" width="18" customWidth="1"/>
    <col min="3" max="3" width="12" customWidth="1"/>
    <col min="4" max="4" width="14" customWidth="1"/>
    <col min="5" max="6" width="12" customWidth="1"/>
    <col min="7" max="8" width="11" customWidth="1"/>
    <col min="9" max="9" width="12" customWidth="1"/>
    <col min="10" max="10" width="14" customWidth="1"/>
    <col min="11" max="11" width="12" customWidth="1"/>
    <col min="12" max="12" width="11" customWidth="1"/>
    <col min="13" max="13" width="13" customWidth="1"/>
    <col min="14" max="16" width="12" customWidth="1"/>
    <col min="17" max="17" width="14" customWidth="1"/>
    <col min="18" max="18" width="16" customWidth="1"/>
  </cols>
  <sheetData>
    <row r="1" spans="1:18" ht="33.7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15.75" customHeight="1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18" customHeight="1" x14ac:dyDescent="0.25">
      <c r="A3" s="13" t="s">
        <v>2</v>
      </c>
      <c r="B3" s="13"/>
      <c r="C3" s="13"/>
      <c r="D3" s="15" t="s">
        <v>193</v>
      </c>
      <c r="E3" s="16"/>
      <c r="F3" s="16"/>
      <c r="G3" s="16"/>
      <c r="H3" s="16"/>
      <c r="I3" s="17"/>
      <c r="J3" s="13" t="s">
        <v>175</v>
      </c>
      <c r="K3" s="13"/>
      <c r="L3" s="13"/>
      <c r="M3" s="18" t="s">
        <v>194</v>
      </c>
      <c r="N3" s="19"/>
      <c r="O3" s="19"/>
      <c r="P3" s="19"/>
      <c r="Q3" s="19"/>
    </row>
    <row r="4" spans="1:18" ht="42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</row>
    <row r="5" spans="1:18" ht="19.5" customHeight="1" x14ac:dyDescent="0.25">
      <c r="A5" s="2" t="s">
        <v>174</v>
      </c>
      <c r="B5" s="2" t="s">
        <v>176</v>
      </c>
      <c r="C5" s="2" t="s">
        <v>178</v>
      </c>
      <c r="D5" s="2" t="s">
        <v>177</v>
      </c>
      <c r="E5" s="2" t="s">
        <v>179</v>
      </c>
      <c r="F5" s="2" t="s">
        <v>180</v>
      </c>
      <c r="G5" s="2" t="s">
        <v>181</v>
      </c>
      <c r="H5" s="2" t="s">
        <v>182</v>
      </c>
      <c r="I5" s="2" t="s">
        <v>183</v>
      </c>
      <c r="J5" s="2" t="s">
        <v>184</v>
      </c>
      <c r="K5" s="2" t="s">
        <v>185</v>
      </c>
      <c r="L5" s="2" t="s">
        <v>186</v>
      </c>
      <c r="M5" s="14" t="s">
        <v>187</v>
      </c>
      <c r="N5" s="2" t="s">
        <v>188</v>
      </c>
      <c r="O5" s="2" t="s">
        <v>189</v>
      </c>
      <c r="P5" s="2" t="s">
        <v>190</v>
      </c>
      <c r="Q5" s="3" t="s">
        <v>191</v>
      </c>
      <c r="R5" s="2" t="s">
        <v>192</v>
      </c>
    </row>
    <row r="6" spans="1:18" ht="19.5" customHeight="1" x14ac:dyDescent="0.25">
      <c r="A6" s="4">
        <v>2</v>
      </c>
      <c r="B6" s="4" t="s">
        <v>27</v>
      </c>
      <c r="C6" s="4" t="s">
        <v>28</v>
      </c>
      <c r="D6" s="4" t="s">
        <v>29</v>
      </c>
      <c r="E6" s="4" t="s">
        <v>30</v>
      </c>
      <c r="F6" s="4" t="s">
        <v>31</v>
      </c>
      <c r="G6" s="4" t="s">
        <v>32</v>
      </c>
      <c r="H6" s="4" t="s">
        <v>33</v>
      </c>
      <c r="I6" s="4" t="s">
        <v>34</v>
      </c>
      <c r="J6" s="4">
        <v>18</v>
      </c>
      <c r="K6" s="4" t="s">
        <v>24</v>
      </c>
      <c r="L6" s="4" t="s">
        <v>35</v>
      </c>
      <c r="M6" s="4" t="s">
        <v>36</v>
      </c>
      <c r="N6" s="4" t="s">
        <v>37</v>
      </c>
      <c r="O6" s="4" t="s">
        <v>38</v>
      </c>
      <c r="P6" s="4" t="s">
        <v>39</v>
      </c>
      <c r="Q6" s="5" t="s">
        <v>26</v>
      </c>
      <c r="R6" s="4"/>
    </row>
    <row r="7" spans="1:18" ht="19.5" customHeight="1" x14ac:dyDescent="0.25">
      <c r="A7" s="2">
        <v>3</v>
      </c>
      <c r="B7" s="2" t="s">
        <v>40</v>
      </c>
      <c r="C7" s="2" t="s">
        <v>41</v>
      </c>
      <c r="D7" s="2" t="s">
        <v>42</v>
      </c>
      <c r="E7" s="2" t="s">
        <v>21</v>
      </c>
      <c r="F7" s="2" t="s">
        <v>43</v>
      </c>
      <c r="G7" s="2" t="s">
        <v>44</v>
      </c>
      <c r="H7" s="2" t="s">
        <v>45</v>
      </c>
      <c r="I7" s="2" t="s">
        <v>23</v>
      </c>
      <c r="J7" s="2">
        <v>12</v>
      </c>
      <c r="K7" s="2" t="s">
        <v>24</v>
      </c>
      <c r="L7" s="2" t="s">
        <v>46</v>
      </c>
      <c r="M7" s="2" t="s">
        <v>47</v>
      </c>
      <c r="N7" s="2" t="s">
        <v>48</v>
      </c>
      <c r="O7" s="2" t="s">
        <v>49</v>
      </c>
      <c r="P7" s="2" t="s">
        <v>50</v>
      </c>
      <c r="Q7" s="3" t="s">
        <v>26</v>
      </c>
      <c r="R7" s="2"/>
    </row>
    <row r="8" spans="1:18" ht="19.5" customHeight="1" x14ac:dyDescent="0.25">
      <c r="A8" s="4">
        <v>4</v>
      </c>
      <c r="B8" s="4" t="s">
        <v>51</v>
      </c>
      <c r="C8" s="4" t="s">
        <v>52</v>
      </c>
      <c r="D8" s="4" t="s">
        <v>53</v>
      </c>
      <c r="E8" s="4" t="s">
        <v>30</v>
      </c>
      <c r="F8" s="4" t="s">
        <v>31</v>
      </c>
      <c r="G8" s="4" t="s">
        <v>54</v>
      </c>
      <c r="H8" s="4" t="s">
        <v>55</v>
      </c>
      <c r="I8" s="4" t="s">
        <v>56</v>
      </c>
      <c r="J8" s="4">
        <v>12</v>
      </c>
      <c r="K8" s="4" t="s">
        <v>24</v>
      </c>
      <c r="L8" s="4" t="s">
        <v>46</v>
      </c>
      <c r="M8" s="4" t="s">
        <v>57</v>
      </c>
      <c r="N8" s="4" t="s">
        <v>58</v>
      </c>
      <c r="O8" s="4" t="s">
        <v>59</v>
      </c>
      <c r="P8" s="4" t="s">
        <v>60</v>
      </c>
      <c r="Q8" s="5" t="s">
        <v>26</v>
      </c>
      <c r="R8" s="4"/>
    </row>
    <row r="9" spans="1:18" ht="19.5" customHeight="1" x14ac:dyDescent="0.25">
      <c r="A9" s="2">
        <v>5</v>
      </c>
      <c r="B9" s="2" t="s">
        <v>61</v>
      </c>
      <c r="C9" s="2" t="s">
        <v>62</v>
      </c>
      <c r="D9" s="2" t="s">
        <v>63</v>
      </c>
      <c r="E9" s="2" t="s">
        <v>21</v>
      </c>
      <c r="F9" s="2" t="s">
        <v>22</v>
      </c>
      <c r="G9" s="2" t="s">
        <v>64</v>
      </c>
      <c r="H9" s="2" t="s">
        <v>65</v>
      </c>
      <c r="I9" s="2" t="s">
        <v>23</v>
      </c>
      <c r="J9" s="2">
        <v>24</v>
      </c>
      <c r="K9" s="2" t="s">
        <v>24</v>
      </c>
      <c r="L9" s="2" t="s">
        <v>25</v>
      </c>
      <c r="M9" s="2" t="s">
        <v>66</v>
      </c>
      <c r="N9" s="2" t="s">
        <v>67</v>
      </c>
      <c r="O9" s="2" t="s">
        <v>68</v>
      </c>
      <c r="P9" s="2" t="s">
        <v>69</v>
      </c>
      <c r="Q9" s="3" t="s">
        <v>26</v>
      </c>
      <c r="R9" s="2"/>
    </row>
    <row r="10" spans="1:18" ht="19.5" customHeight="1" x14ac:dyDescent="0.25">
      <c r="A10" s="4">
        <v>6</v>
      </c>
      <c r="B10" s="4" t="s">
        <v>70</v>
      </c>
      <c r="C10" s="4" t="s">
        <v>71</v>
      </c>
      <c r="D10" s="4" t="s">
        <v>72</v>
      </c>
      <c r="E10" s="4" t="s">
        <v>30</v>
      </c>
      <c r="F10" s="4" t="s">
        <v>73</v>
      </c>
      <c r="G10" s="4" t="s">
        <v>74</v>
      </c>
      <c r="H10" s="4" t="s">
        <v>75</v>
      </c>
      <c r="I10" s="4" t="s">
        <v>23</v>
      </c>
      <c r="J10" s="4">
        <v>24</v>
      </c>
      <c r="K10" s="4" t="s">
        <v>24</v>
      </c>
      <c r="L10" s="4" t="s">
        <v>25</v>
      </c>
      <c r="M10" s="4" t="s">
        <v>76</v>
      </c>
      <c r="N10" s="4" t="s">
        <v>77</v>
      </c>
      <c r="O10" s="4" t="s">
        <v>78</v>
      </c>
      <c r="P10" s="4" t="s">
        <v>79</v>
      </c>
      <c r="Q10" s="5" t="s">
        <v>26</v>
      </c>
      <c r="R10" s="4"/>
    </row>
    <row r="11" spans="1:18" ht="19.5" customHeight="1" x14ac:dyDescent="0.25">
      <c r="A11" s="2">
        <v>7</v>
      </c>
      <c r="B11" s="2" t="s">
        <v>80</v>
      </c>
      <c r="C11" s="2" t="s">
        <v>81</v>
      </c>
      <c r="D11" s="2" t="s">
        <v>82</v>
      </c>
      <c r="E11" s="2" t="s">
        <v>21</v>
      </c>
      <c r="F11" s="2" t="s">
        <v>31</v>
      </c>
      <c r="G11" s="2" t="s">
        <v>83</v>
      </c>
      <c r="H11" s="2" t="s">
        <v>84</v>
      </c>
      <c r="I11" s="2" t="s">
        <v>34</v>
      </c>
      <c r="J11" s="2">
        <v>18</v>
      </c>
      <c r="K11" s="2" t="s">
        <v>24</v>
      </c>
      <c r="L11" s="2" t="s">
        <v>35</v>
      </c>
      <c r="M11" s="2" t="s">
        <v>85</v>
      </c>
      <c r="N11" s="2" t="s">
        <v>86</v>
      </c>
      <c r="O11" s="2" t="s">
        <v>87</v>
      </c>
      <c r="P11" s="2" t="s">
        <v>88</v>
      </c>
      <c r="Q11" s="3" t="s">
        <v>26</v>
      </c>
      <c r="R11" s="2"/>
    </row>
    <row r="12" spans="1:18" ht="19.5" customHeight="1" x14ac:dyDescent="0.25">
      <c r="A12" s="4">
        <v>8</v>
      </c>
      <c r="B12" s="4" t="s">
        <v>89</v>
      </c>
      <c r="C12" s="4" t="s">
        <v>90</v>
      </c>
      <c r="D12" s="4" t="s">
        <v>91</v>
      </c>
      <c r="E12" s="4" t="s">
        <v>30</v>
      </c>
      <c r="F12" s="4" t="s">
        <v>22</v>
      </c>
      <c r="G12" s="4" t="s">
        <v>92</v>
      </c>
      <c r="H12" s="4" t="s">
        <v>93</v>
      </c>
      <c r="I12" s="4" t="s">
        <v>56</v>
      </c>
      <c r="J12" s="4">
        <v>12</v>
      </c>
      <c r="K12" s="4" t="s">
        <v>24</v>
      </c>
      <c r="L12" s="4" t="s">
        <v>46</v>
      </c>
      <c r="M12" s="4" t="s">
        <v>94</v>
      </c>
      <c r="N12" s="4" t="s">
        <v>95</v>
      </c>
      <c r="O12" s="4" t="s">
        <v>96</v>
      </c>
      <c r="P12" s="4" t="s">
        <v>97</v>
      </c>
      <c r="Q12" s="5" t="s">
        <v>26</v>
      </c>
      <c r="R12" s="4"/>
    </row>
    <row r="13" spans="1:18" ht="19.5" customHeight="1" x14ac:dyDescent="0.25">
      <c r="A13" s="2">
        <v>9</v>
      </c>
      <c r="B13" s="2" t="s">
        <v>98</v>
      </c>
      <c r="C13" s="2" t="s">
        <v>99</v>
      </c>
      <c r="D13" s="2" t="s">
        <v>100</v>
      </c>
      <c r="E13" s="2" t="s">
        <v>21</v>
      </c>
      <c r="F13" s="2" t="s">
        <v>31</v>
      </c>
      <c r="G13" s="2" t="s">
        <v>101</v>
      </c>
      <c r="H13" s="2" t="s">
        <v>102</v>
      </c>
      <c r="I13" s="2" t="s">
        <v>23</v>
      </c>
      <c r="J13" s="2">
        <v>12</v>
      </c>
      <c r="K13" s="2" t="s">
        <v>24</v>
      </c>
      <c r="L13" s="2" t="s">
        <v>46</v>
      </c>
      <c r="M13" s="2" t="s">
        <v>103</v>
      </c>
      <c r="N13" s="2" t="s">
        <v>104</v>
      </c>
      <c r="O13" s="2" t="s">
        <v>105</v>
      </c>
      <c r="P13" s="2" t="s">
        <v>106</v>
      </c>
      <c r="Q13" s="3" t="s">
        <v>26</v>
      </c>
      <c r="R13" s="2"/>
    </row>
    <row r="14" spans="1:18" ht="19.5" customHeight="1" x14ac:dyDescent="0.25">
      <c r="A14" s="4">
        <v>10</v>
      </c>
      <c r="B14" s="4" t="s">
        <v>107</v>
      </c>
      <c r="C14" s="4" t="s">
        <v>108</v>
      </c>
      <c r="D14" s="4" t="s">
        <v>109</v>
      </c>
      <c r="E14" s="4" t="s">
        <v>30</v>
      </c>
      <c r="F14" s="4" t="s">
        <v>43</v>
      </c>
      <c r="G14" s="4" t="s">
        <v>110</v>
      </c>
      <c r="H14" s="4" t="s">
        <v>111</v>
      </c>
      <c r="I14" s="4" t="s">
        <v>34</v>
      </c>
      <c r="J14" s="4">
        <v>18</v>
      </c>
      <c r="K14" s="4" t="s">
        <v>24</v>
      </c>
      <c r="L14" s="4" t="s">
        <v>35</v>
      </c>
      <c r="M14" s="4" t="s">
        <v>112</v>
      </c>
      <c r="N14" s="4" t="s">
        <v>113</v>
      </c>
      <c r="O14" s="4" t="s">
        <v>114</v>
      </c>
      <c r="P14" s="4" t="s">
        <v>115</v>
      </c>
      <c r="Q14" s="5" t="s">
        <v>26</v>
      </c>
      <c r="R14" s="4"/>
    </row>
    <row r="15" spans="1:18" ht="19.5" customHeight="1" x14ac:dyDescent="0.25">
      <c r="A15" s="2">
        <v>11</v>
      </c>
      <c r="B15" s="2" t="s">
        <v>116</v>
      </c>
      <c r="C15" s="2" t="s">
        <v>117</v>
      </c>
      <c r="D15" s="2" t="s">
        <v>118</v>
      </c>
      <c r="E15" s="2" t="s">
        <v>21</v>
      </c>
      <c r="F15" s="2" t="s">
        <v>31</v>
      </c>
      <c r="G15" s="2" t="s">
        <v>119</v>
      </c>
      <c r="H15" s="2" t="s">
        <v>120</v>
      </c>
      <c r="I15" s="2" t="s">
        <v>56</v>
      </c>
      <c r="J15" s="2">
        <v>12</v>
      </c>
      <c r="K15" s="2" t="s">
        <v>24</v>
      </c>
      <c r="L15" s="2" t="s">
        <v>46</v>
      </c>
      <c r="M15" s="2" t="s">
        <v>121</v>
      </c>
      <c r="N15" s="2" t="s">
        <v>122</v>
      </c>
      <c r="O15" s="2" t="s">
        <v>123</v>
      </c>
      <c r="P15" s="2" t="s">
        <v>124</v>
      </c>
      <c r="Q15" s="3" t="s">
        <v>26</v>
      </c>
      <c r="R15" s="2"/>
    </row>
    <row r="16" spans="1:18" ht="19.5" customHeight="1" x14ac:dyDescent="0.25">
      <c r="A16" s="4">
        <v>12</v>
      </c>
      <c r="B16" s="4" t="s">
        <v>125</v>
      </c>
      <c r="C16" s="4" t="s">
        <v>126</v>
      </c>
      <c r="D16" s="4" t="s">
        <v>127</v>
      </c>
      <c r="E16" s="4" t="s">
        <v>30</v>
      </c>
      <c r="F16" s="4" t="s">
        <v>22</v>
      </c>
      <c r="G16" s="4" t="s">
        <v>128</v>
      </c>
      <c r="H16" s="4" t="s">
        <v>129</v>
      </c>
      <c r="I16" s="4" t="s">
        <v>23</v>
      </c>
      <c r="J16" s="4">
        <v>12</v>
      </c>
      <c r="K16" s="4" t="s">
        <v>24</v>
      </c>
      <c r="L16" s="4" t="s">
        <v>46</v>
      </c>
      <c r="M16" s="4" t="s">
        <v>130</v>
      </c>
      <c r="N16" s="4" t="s">
        <v>131</v>
      </c>
      <c r="O16" s="4" t="s">
        <v>132</v>
      </c>
      <c r="P16" s="4" t="s">
        <v>133</v>
      </c>
      <c r="Q16" s="5" t="s">
        <v>26</v>
      </c>
      <c r="R16" s="4"/>
    </row>
    <row r="17" spans="1:18" ht="19.5" customHeight="1" x14ac:dyDescent="0.25">
      <c r="A17" s="2">
        <v>13</v>
      </c>
      <c r="B17" s="2" t="s">
        <v>134</v>
      </c>
      <c r="C17" s="2" t="s">
        <v>135</v>
      </c>
      <c r="D17" s="2" t="s">
        <v>136</v>
      </c>
      <c r="E17" s="2" t="s">
        <v>21</v>
      </c>
      <c r="F17" s="2" t="s">
        <v>43</v>
      </c>
      <c r="G17" s="2" t="s">
        <v>137</v>
      </c>
      <c r="H17" s="2" t="s">
        <v>138</v>
      </c>
      <c r="I17" s="2" t="s">
        <v>23</v>
      </c>
      <c r="J17" s="2">
        <v>12</v>
      </c>
      <c r="K17" s="2" t="s">
        <v>24</v>
      </c>
      <c r="L17" s="2" t="s">
        <v>46</v>
      </c>
      <c r="M17" s="2" t="s">
        <v>139</v>
      </c>
      <c r="N17" s="2" t="s">
        <v>140</v>
      </c>
      <c r="O17" s="2" t="s">
        <v>141</v>
      </c>
      <c r="P17" s="2" t="s">
        <v>142</v>
      </c>
      <c r="Q17" s="3" t="s">
        <v>26</v>
      </c>
      <c r="R17" s="2"/>
    </row>
    <row r="18" spans="1:18" ht="19.5" customHeight="1" x14ac:dyDescent="0.25">
      <c r="A18" s="4">
        <v>14</v>
      </c>
      <c r="B18" s="4" t="s">
        <v>143</v>
      </c>
      <c r="C18" s="4" t="s">
        <v>144</v>
      </c>
      <c r="D18" s="4" t="s">
        <v>145</v>
      </c>
      <c r="E18" s="4" t="s">
        <v>30</v>
      </c>
      <c r="F18" s="4" t="s">
        <v>31</v>
      </c>
      <c r="G18" s="4" t="s">
        <v>146</v>
      </c>
      <c r="H18" s="4" t="s">
        <v>147</v>
      </c>
      <c r="I18" s="4" t="s">
        <v>56</v>
      </c>
      <c r="J18" s="4">
        <v>12</v>
      </c>
      <c r="K18" s="4" t="s">
        <v>24</v>
      </c>
      <c r="L18" s="4" t="s">
        <v>46</v>
      </c>
      <c r="M18" s="4" t="s">
        <v>148</v>
      </c>
      <c r="N18" s="4" t="s">
        <v>149</v>
      </c>
      <c r="O18" s="4" t="s">
        <v>150</v>
      </c>
      <c r="P18" s="4" t="s">
        <v>151</v>
      </c>
      <c r="Q18" s="5" t="s">
        <v>26</v>
      </c>
      <c r="R18" s="4"/>
    </row>
    <row r="19" spans="1:18" ht="19.5" customHeight="1" x14ac:dyDescent="0.25">
      <c r="A19" s="2">
        <v>15</v>
      </c>
      <c r="B19" s="2" t="s">
        <v>152</v>
      </c>
      <c r="C19" s="2" t="s">
        <v>153</v>
      </c>
      <c r="D19" s="2" t="s">
        <v>154</v>
      </c>
      <c r="E19" s="2" t="s">
        <v>21</v>
      </c>
      <c r="F19" s="2" t="s">
        <v>22</v>
      </c>
      <c r="G19" s="2" t="s">
        <v>155</v>
      </c>
      <c r="H19" s="2" t="s">
        <v>156</v>
      </c>
      <c r="I19" s="2" t="s">
        <v>23</v>
      </c>
      <c r="J19" s="2">
        <v>24</v>
      </c>
      <c r="K19" s="2" t="s">
        <v>24</v>
      </c>
      <c r="L19" s="2" t="s">
        <v>25</v>
      </c>
      <c r="M19" s="2" t="s">
        <v>157</v>
      </c>
      <c r="N19" s="2" t="s">
        <v>158</v>
      </c>
      <c r="O19" s="2" t="s">
        <v>159</v>
      </c>
      <c r="P19" s="2" t="s">
        <v>160</v>
      </c>
      <c r="Q19" s="3" t="s">
        <v>26</v>
      </c>
      <c r="R19" s="2"/>
    </row>
    <row r="21" spans="1:18" ht="18" customHeight="1" x14ac:dyDescent="0.25">
      <c r="A21" s="10" t="s">
        <v>161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1:18" ht="15.75" customHeight="1" x14ac:dyDescent="0.25">
      <c r="A22" s="8" t="s">
        <v>162</v>
      </c>
      <c r="B22" s="8"/>
      <c r="C22" s="8"/>
      <c r="D22" s="8"/>
      <c r="E22" s="8"/>
      <c r="F22" s="8"/>
      <c r="G22" s="6">
        <f>COUNTA(B5:B19)</f>
        <v>15</v>
      </c>
    </row>
    <row r="23" spans="1:18" ht="15.75" customHeight="1" x14ac:dyDescent="0.25">
      <c r="A23" s="8" t="s">
        <v>163</v>
      </c>
      <c r="B23" s="8"/>
      <c r="C23" s="8"/>
      <c r="D23" s="8"/>
      <c r="E23" s="8"/>
      <c r="F23" s="8"/>
      <c r="G23" s="6">
        <f>COUNTIF(I5:I19,"Trade Apprentice")</f>
        <v>7</v>
      </c>
    </row>
    <row r="24" spans="1:18" ht="15.75" customHeight="1" x14ac:dyDescent="0.25">
      <c r="A24" s="8" t="s">
        <v>164</v>
      </c>
      <c r="B24" s="8"/>
      <c r="C24" s="8"/>
      <c r="D24" s="8"/>
      <c r="E24" s="8"/>
      <c r="F24" s="8"/>
      <c r="G24" s="6">
        <f>COUNTIF(I5:I19,"Graduate Apprentice")</f>
        <v>4</v>
      </c>
    </row>
    <row r="25" spans="1:18" ht="15.75" customHeight="1" x14ac:dyDescent="0.25">
      <c r="A25" s="8" t="s">
        <v>165</v>
      </c>
      <c r="B25" s="8"/>
      <c r="C25" s="8"/>
      <c r="D25" s="8"/>
      <c r="E25" s="8"/>
      <c r="F25" s="8"/>
      <c r="G25" s="6">
        <f>COUNTIF(I5:I19,"Technician Apprentice")</f>
        <v>3</v>
      </c>
    </row>
    <row r="26" spans="1:18" ht="15.75" customHeight="1" x14ac:dyDescent="0.25">
      <c r="A26" s="8" t="s">
        <v>166</v>
      </c>
      <c r="B26" s="8"/>
      <c r="C26" s="8"/>
      <c r="D26" s="8"/>
      <c r="E26" s="8"/>
      <c r="F26" s="8"/>
      <c r="G26" s="6">
        <f>COUNTIF(Q5:Q19,"Active")</f>
        <v>14</v>
      </c>
    </row>
    <row r="27" spans="1:18" ht="15.75" customHeight="1" x14ac:dyDescent="0.25">
      <c r="A27" s="8" t="s">
        <v>167</v>
      </c>
      <c r="B27" s="8"/>
      <c r="C27" s="8"/>
      <c r="D27" s="8"/>
      <c r="E27" s="8"/>
      <c r="F27" s="8"/>
      <c r="G27" s="6">
        <f>COUNTIF(E5:E19,"M")</f>
        <v>7</v>
      </c>
    </row>
    <row r="28" spans="1:18" ht="15.75" customHeight="1" x14ac:dyDescent="0.25">
      <c r="A28" s="8" t="s">
        <v>168</v>
      </c>
      <c r="B28" s="8"/>
      <c r="C28" s="8"/>
      <c r="D28" s="8"/>
      <c r="E28" s="8"/>
      <c r="F28" s="8"/>
      <c r="G28" s="6">
        <f>COUNTIF(E5:E19,"F")</f>
        <v>7</v>
      </c>
    </row>
    <row r="29" spans="1:18" ht="15.75" customHeight="1" x14ac:dyDescent="0.25">
      <c r="A29" s="8" t="s">
        <v>169</v>
      </c>
      <c r="B29" s="8"/>
      <c r="C29" s="8"/>
      <c r="D29" s="8"/>
      <c r="E29" s="8"/>
      <c r="F29" s="8"/>
      <c r="G29" s="6">
        <f>COUNTIFS(F5:F19,"SC")+COUNTIFS(F5:F19,"ST")</f>
        <v>4</v>
      </c>
    </row>
    <row r="31" spans="1:18" ht="31.5" customHeight="1" x14ac:dyDescent="0.25">
      <c r="A31" s="9" t="s">
        <v>170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3" spans="1:18" ht="19.5" customHeight="1" x14ac:dyDescent="0.25">
      <c r="A33" s="7" t="s">
        <v>171</v>
      </c>
      <c r="B33" s="7"/>
      <c r="C33" s="7"/>
      <c r="D33" s="7"/>
      <c r="E33" s="7"/>
      <c r="F33" s="7"/>
      <c r="G33" s="7" t="s">
        <v>172</v>
      </c>
      <c r="H33" s="7"/>
      <c r="I33" s="7"/>
      <c r="J33" s="7"/>
      <c r="K33" s="7"/>
      <c r="L33" s="7"/>
      <c r="M33" s="7" t="s">
        <v>173</v>
      </c>
      <c r="N33" s="7"/>
      <c r="O33" s="7"/>
      <c r="P33" s="7"/>
      <c r="Q33" s="7"/>
      <c r="R33" s="7"/>
    </row>
  </sheetData>
  <mergeCells count="19">
    <mergeCell ref="A1:R1"/>
    <mergeCell ref="A2:R2"/>
    <mergeCell ref="A3:C3"/>
    <mergeCell ref="J3:L3"/>
    <mergeCell ref="D3:I3"/>
    <mergeCell ref="M3:Q3"/>
    <mergeCell ref="A21:R21"/>
    <mergeCell ref="A22:F22"/>
    <mergeCell ref="A23:F23"/>
    <mergeCell ref="A24:F24"/>
    <mergeCell ref="A25:F25"/>
    <mergeCell ref="A33:F33"/>
    <mergeCell ref="G33:L33"/>
    <mergeCell ref="M33:R33"/>
    <mergeCell ref="A26:F26"/>
    <mergeCell ref="A27:F27"/>
    <mergeCell ref="A28:F28"/>
    <mergeCell ref="A29:F29"/>
    <mergeCell ref="A31:R3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Apprentice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Sayed Iftekhar Ali</cp:lastModifiedBy>
  <cp:revision>0</cp:revision>
  <dcterms:created xsi:type="dcterms:W3CDTF">2026-05-19T20:03:07Z</dcterms:created>
  <dcterms:modified xsi:type="dcterms:W3CDTF">2026-05-30T20:35:53Z</dcterms:modified>
  <dc:language>en-US</dc:language>
</cp:coreProperties>
</file>