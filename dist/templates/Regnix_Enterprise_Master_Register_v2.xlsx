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d7e3616b9c73ea01/Desktop/Regnix forms and register/"/>
    </mc:Choice>
  </mc:AlternateContent>
  <xr:revisionPtr revIDLastSave="167" documentId="11_767B7E4948A8837B086CD1F3CBC1A6821731EA03" xr6:coauthVersionLast="47" xr6:coauthVersionMax="47" xr10:uidLastSave="{95B58C94-F57B-44FF-8AA7-4741B1C4B4C5}"/>
  <bookViews>
    <workbookView minimized="1" xWindow="5130" yWindow="3015" windowWidth="15360" windowHeight="7785" tabRatio="500" firstSheet="2" activeTab="3" xr2:uid="{00000000-000D-0000-FFFF-FFFF00000000}"/>
  </bookViews>
  <sheets>
    <sheet name="Master Register - Structured" sheetId="1" r:id="rId1"/>
    <sheet name="COLUMN_MAP" sheetId="2" r:id="rId2"/>
    <sheet name="REGISTER_INTERLINK" sheetId="3" r:id="rId3"/>
    <sheet name="Rating &amp; Analysis" sheetId="4" r:id="rId4"/>
    <sheet name="Compliance Tracker" sheetId="5" r:id="rId5"/>
    <sheet name="Statutory Forms Matrix" sheetId="6" r:id="rId6"/>
    <sheet name="Audit Readiness" sheetId="7" r:id="rId7"/>
    <sheet name="Column names " sheetId="8" r:id="rId8"/>
  </sheets>
  <definedNames>
    <definedName name="_xlnm._FilterDatabase" localSheetId="1" hidden="1">COLUMN_MAP!$A$1:$U$1</definedName>
    <definedName name="_xlnm._FilterDatabase" localSheetId="4" hidden="1">'Compliance Tracker'!$A$1:$J$1</definedName>
    <definedName name="_xlnm._FilterDatabase" localSheetId="0" hidden="1">'Master Register - Structured'!$A$2:$UN$2</definedName>
    <definedName name="_xlnm._FilterDatabase" localSheetId="2" hidden="1">REGISTER_INTERLINK!$A$1:$M$1</definedName>
    <definedName name="_xlnm._FilterDatabase" localSheetId="5" hidden="1">'Statutory Forms Matrix'!$A$1:$H$1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7" i="5" l="1"/>
  <c r="F16" i="5"/>
  <c r="F14" i="5"/>
  <c r="F13" i="5"/>
  <c r="F11" i="5"/>
  <c r="F9" i="5"/>
  <c r="F7" i="5"/>
  <c r="F6" i="5"/>
  <c r="F5" i="5"/>
  <c r="F4" i="5"/>
  <c r="F3" i="5"/>
  <c r="F2" i="5"/>
</calcChain>
</file>

<file path=xl/sharedStrings.xml><?xml version="1.0" encoding="utf-8"?>
<sst xmlns="http://schemas.openxmlformats.org/spreadsheetml/2006/main" count="11435" uniqueCount="3215">
  <si>
    <t>PRIMARY IDENTIFICATION</t>
  </si>
  <si>
    <t>SUPPLIER / CONTRACTOR INFORMATION</t>
  </si>
  <si>
    <t>EMPLOYMENT INFORMATION</t>
  </si>
  <si>
    <t>FAMILY / NOMINEE</t>
  </si>
  <si>
    <t>LEAVE &amp; ATTENDANCE</t>
  </si>
  <si>
    <t>PAYROLL &amp; FINANCIAL</t>
  </si>
  <si>
    <t>COMPLIANCE &amp; DOCUMENTATION</t>
  </si>
  <si>
    <t>LOCATION INFORMATION</t>
  </si>
  <si>
    <t>OPERATIONAL STATUS</t>
  </si>
  <si>
    <t>DATES &amp; TIMELINES</t>
  </si>
  <si>
    <t>INCIDENT / ACCIDENT</t>
  </si>
  <si>
    <t>APPRENTICESHIP</t>
  </si>
  <si>
    <t>MATERNITY BENEFITS</t>
  </si>
  <si>
    <t>SYSTEM / METADATA</t>
  </si>
  <si>
    <t>STATUTORY REGISTERS</t>
  </si>
  <si>
    <t>Sl.no</t>
  </si>
  <si>
    <t>Registration No. and date</t>
  </si>
  <si>
    <t>Number and date of licence</t>
  </si>
  <si>
    <t>Date of expiry of previous licence</t>
  </si>
  <si>
    <t>Whether the licence  of the contractor was suspended or revoked</t>
  </si>
  <si>
    <t>[No and date of the demand draft of security deposit in respect of the previous deposits previous licence]</t>
  </si>
  <si>
    <t>No. and date of certificate of  registration of the establishment in relation to which the new licence is applied for</t>
  </si>
  <si>
    <t>Number and date of Certificate of Registration</t>
  </si>
  <si>
    <t>Employee code</t>
  </si>
  <si>
    <t>Workman sl .no</t>
  </si>
  <si>
    <t>Serial number in the register of workmen employed</t>
  </si>
  <si>
    <t>Serial No.in the register of workmen</t>
  </si>
  <si>
    <t>UAN Number</t>
  </si>
  <si>
    <t>Establishment ID:-</t>
  </si>
  <si>
    <t>TRRN No.</t>
  </si>
  <si>
    <t>ESIC IP no</t>
  </si>
  <si>
    <t>IP Number (ESIC)</t>
  </si>
  <si>
    <t>ESIC Reason Code</t>
  </si>
  <si>
    <t>Apprenticeship Registration No.</t>
  </si>
  <si>
    <t>Regnix Employee ID</t>
  </si>
  <si>
    <t>ESIC IP Number</t>
  </si>
  <si>
    <t>Contractor Code</t>
  </si>
  <si>
    <t>NATS / NAPS Registration No.</t>
  </si>
  <si>
    <t>PwD Certificate Number</t>
  </si>
  <si>
    <t>Form A - Gratuity Notice Filing Date</t>
  </si>
  <si>
    <t>Gratuity Insurance Policy No. (if any)</t>
  </si>
  <si>
    <t>Registration No. (NAPS/BOAT)</t>
  </si>
  <si>
    <t>Name and address of contractor</t>
  </si>
  <si>
    <t>Name and address of the contractor</t>
  </si>
  <si>
    <t>Name and address of the principal employer</t>
  </si>
  <si>
    <t>Particulars of fresh contract</t>
  </si>
  <si>
    <t>Name and Address of Contractor</t>
  </si>
  <si>
    <t>Nature of Work of Contract</t>
  </si>
  <si>
    <t>Location Contract Work</t>
  </si>
  <si>
    <t>Contract Validity from</t>
  </si>
  <si>
    <t>Contract Validity To</t>
  </si>
  <si>
    <t>Vendor GSTIN</t>
  </si>
  <si>
    <t>Contractor's Nature/ name of work</t>
  </si>
  <si>
    <t>Apprentices Act Contractor / TPEA Name</t>
  </si>
  <si>
    <t>Type of business trade, industry, manufacture or occupation, which is carried on in the establishment</t>
  </si>
  <si>
    <t>Maximum Number of Workmen Employed by Contractor</t>
  </si>
  <si>
    <t>Nature of Employment /designation</t>
  </si>
  <si>
    <t>Date of commence-ment of employment</t>
  </si>
  <si>
    <t>Nature of employment/designation</t>
  </si>
  <si>
    <t>tenure of employment</t>
  </si>
  <si>
    <t>Department</t>
  </si>
  <si>
    <t>Designation</t>
  </si>
  <si>
    <t>Work Location</t>
  </si>
  <si>
    <t>Shift Type</t>
  </si>
  <si>
    <t>Joining Source</t>
  </si>
  <si>
    <t>Notice Period</t>
  </si>
  <si>
    <t>Applicable Minimum Wage (Zone/Category)</t>
  </si>
  <si>
    <t>Minimum Wage Compliance Status</t>
  </si>
  <si>
    <t>Type of Establishment (Factory/Shop/Est.)</t>
  </si>
  <si>
    <t>Registration under Factories Act (Yes/No)</t>
  </si>
  <si>
    <t>Registration under Shops &amp; Establishment Act (Yes/No)</t>
  </si>
  <si>
    <t>Wage Parity Verified (Yes/No)</t>
  </si>
  <si>
    <t>Remarks on Equal Remuneration</t>
  </si>
  <si>
    <t>Standing Order Category</t>
  </si>
  <si>
    <t>Trade Union Membership (Yes/No)</t>
  </si>
  <si>
    <t>Trade Union Name</t>
  </si>
  <si>
    <t>Location / Unit</t>
  </si>
  <si>
    <t>Shift</t>
  </si>
  <si>
    <t>Skill Category</t>
  </si>
  <si>
    <t>Minimum Wage Category</t>
  </si>
  <si>
    <t>Date of entry into service</t>
  </si>
  <si>
    <t>Name of Occupier</t>
  </si>
  <si>
    <t>Name of Manager</t>
  </si>
  <si>
    <t>Name of Team lead</t>
  </si>
  <si>
    <t>Name of Buddy 1</t>
  </si>
  <si>
    <t>Name of Buddy 2</t>
  </si>
  <si>
    <t>HR Name handling this case</t>
  </si>
  <si>
    <t>Name and Father’s/hus- band’s name surname of workmen</t>
  </si>
  <si>
    <t>Age and sex/ Gender</t>
  </si>
  <si>
    <t>Identification marks</t>
  </si>
  <si>
    <t>Aadhaar card number employee</t>
  </si>
  <si>
    <t>Pan card details employee</t>
  </si>
  <si>
    <t>Passport details emplyee</t>
  </si>
  <si>
    <t>Father’s DOB</t>
  </si>
  <si>
    <t>Gender</t>
  </si>
  <si>
    <t>Mother’s DOB</t>
  </si>
  <si>
    <t>Mother Gender</t>
  </si>
  <si>
    <t>Spouse Gender</t>
  </si>
  <si>
    <t>Spouse DOB</t>
  </si>
  <si>
    <t>Emergency Contact Name</t>
  </si>
  <si>
    <t>Emergency Contact Number</t>
  </si>
  <si>
    <t>Date of Birth (DD-MM-YYYY)</t>
  </si>
  <si>
    <t>Marital Status</t>
  </si>
  <si>
    <t>Religion</t>
  </si>
  <si>
    <t>Nationality</t>
  </si>
  <si>
    <t>Blood Group</t>
  </si>
  <si>
    <t>Differently Abled (Yes/No)</t>
  </si>
  <si>
    <t>Disability Type (if any)</t>
  </si>
  <si>
    <t>Mobile Number</t>
  </si>
  <si>
    <t>Alternate Mobile Number</t>
  </si>
  <si>
    <t>Personal Email ID</t>
  </si>
  <si>
    <t>Official Email ID</t>
  </si>
  <si>
    <t>Nominee DOB (PF)</t>
  </si>
  <si>
    <t>ID Proof Type</t>
  </si>
  <si>
    <t>Address Proof Type</t>
  </si>
  <si>
    <t>Employee Full Name</t>
  </si>
  <si>
    <t>Middle Name</t>
  </si>
  <si>
    <t>Last Name / Surname</t>
  </si>
  <si>
    <t>Date of Birth</t>
  </si>
  <si>
    <t>Aadhaar Number</t>
  </si>
  <si>
    <t>PAN Number</t>
  </si>
  <si>
    <t>PwD Category</t>
  </si>
  <si>
    <t>Nominee DOB</t>
  </si>
  <si>
    <t>Child 1 Date of Birth (DD-MM-YYYY)</t>
  </si>
  <si>
    <t>Child 1 Gender</t>
  </si>
  <si>
    <t>Child 2 Date of Birth (DD-MM-YYYY)</t>
  </si>
  <si>
    <t>Child 2 Gender</t>
  </si>
  <si>
    <t>Child 3 Date of Birth (DD-MM-YYYY)</t>
  </si>
  <si>
    <t>Child 3 Gender</t>
  </si>
  <si>
    <t>PwD % Disability</t>
  </si>
  <si>
    <t>PwD Type of Disability</t>
  </si>
  <si>
    <t>Father Alive (Yes/No)</t>
  </si>
  <si>
    <t>Mother Alive (Yes/No)</t>
  </si>
  <si>
    <t>ISMW State of Origin</t>
  </si>
  <si>
    <t>ISMW District of Origin</t>
  </si>
  <si>
    <t>Mother Name</t>
  </si>
  <si>
    <t>Father Contact Details</t>
  </si>
  <si>
    <t>Mother Contact Details</t>
  </si>
  <si>
    <t>Spouse Name</t>
  </si>
  <si>
    <t>Spouse Higher Education</t>
  </si>
  <si>
    <t>Spouse Aadhaar</t>
  </si>
  <si>
    <t>Spouse PAN</t>
  </si>
  <si>
    <t>Spouse Passport</t>
  </si>
  <si>
    <t>Spouse Contact Details</t>
  </si>
  <si>
    <t>Spouse E-mail ID</t>
  </si>
  <si>
    <t>Nominee Name (PF)</t>
  </si>
  <si>
    <t>Nominee Relationship (PF)</t>
  </si>
  <si>
    <t>Nominee Share % (PF)</t>
  </si>
  <si>
    <t>Gratuity Nominee Name</t>
  </si>
  <si>
    <t>Gratuity Nominee Relationship</t>
  </si>
  <si>
    <t>Number of Children</t>
  </si>
  <si>
    <t>Nominee Name</t>
  </si>
  <si>
    <t>Nominee Relation</t>
  </si>
  <si>
    <t>Family Member Count</t>
  </si>
  <si>
    <t>Children Details</t>
  </si>
  <si>
    <t>Child 1 Name</t>
  </si>
  <si>
    <t>Child 2 Name</t>
  </si>
  <si>
    <t>Child 3 Name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</si>
  <si>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</si>
  <si>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</si>
  <si>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</si>
  <si>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</si>
  <si>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</si>
  <si>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</si>
  <si>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</si>
  <si>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</si>
  <si>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</si>
  <si>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</si>
  <si>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</si>
  <si>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</si>
  <si>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</si>
  <si>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</si>
  <si>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</si>
  <si>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</si>
  <si>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</si>
  <si>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</si>
  <si>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</si>
  <si>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</si>
  <si>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</si>
  <si>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</si>
  <si>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</si>
  <si>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</si>
  <si>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</si>
  <si>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</si>
  <si>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</si>
  <si>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</si>
  <si>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</si>
  <si>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</si>
  <si>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</si>
  <si>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For the month of</t>
  </si>
  <si>
    <t>FORM XVI 1[See rule 78(1) (a) (i)] Muster Roll Remarks</t>
  </si>
  <si>
    <t>FORM XVII [See rule 78(1) (a) (i)] Register of Wages Total</t>
  </si>
  <si>
    <t>Earned Leave (EL) Opening Balance</t>
  </si>
  <si>
    <t>Casual Leave (CL) Entitlement</t>
  </si>
  <si>
    <t>Sick Leave (SL) Entitlement</t>
  </si>
  <si>
    <t>Maternity Leave (if applicable)</t>
  </si>
  <si>
    <t>Annual Leave Balance</t>
  </si>
  <si>
    <t>OT Hours Week 1</t>
  </si>
  <si>
    <t>OT Hours Week 2</t>
  </si>
  <si>
    <t>OT Hours Week 3</t>
  </si>
  <si>
    <t>OT Hours Week 4</t>
  </si>
  <si>
    <t>OT Rate (₹/Hr) [2× Ordinary]</t>
  </si>
  <si>
    <t>Leave Remarks Form 15 FA</t>
  </si>
  <si>
    <t>Normal Working Hours</t>
  </si>
  <si>
    <t>Total Hours worked</t>
  </si>
  <si>
    <t>Earned Leave (EL) Availed/ Balance left</t>
  </si>
  <si>
    <t>Casual Leave (CL) Entitlement Availed/ Balance left</t>
  </si>
  <si>
    <t>Sick Leave (SL) Entitlement Availed/ Balance left</t>
  </si>
  <si>
    <t>Maximum No. of contract labour to be employed on any day</t>
  </si>
  <si>
    <t>No. and date of demand draft of the balance security deposit if any, required on the fresh contract]</t>
  </si>
  <si>
    <t>Date of termination of employment</t>
  </si>
  <si>
    <t>Wage rate with particulars or unit in case of piecework</t>
  </si>
  <si>
    <t>Rate of wage (with Particulars of unit in case of piece work)</t>
  </si>
  <si>
    <t>Total days Present</t>
  </si>
  <si>
    <t>Total days Absent</t>
  </si>
  <si>
    <t>Total number of Week Offs /Holidays</t>
  </si>
  <si>
    <t>Overtime Days</t>
  </si>
  <si>
    <t>No.of days worked</t>
  </si>
  <si>
    <t>Daily rate of wages/ piece rate</t>
  </si>
  <si>
    <t>Basic wages</t>
  </si>
  <si>
    <t>Dearness allowa- nces</t>
  </si>
  <si>
    <t>Overtime Amount</t>
  </si>
  <si>
    <t>Net payments/ Amount paid</t>
  </si>
  <si>
    <t>Particulars of damage or loss</t>
  </si>
  <si>
    <t>Date of damage or loss</t>
  </si>
  <si>
    <t>Date of recovery 1st Installments</t>
  </si>
  <si>
    <t>Date of recovery last Installments</t>
  </si>
  <si>
    <t>FORM XX 1[See rule 78(1)(a)(i)] Register of Deductions for Damage or Loss Remarks</t>
  </si>
  <si>
    <t>Wage periods and wage payable</t>
  </si>
  <si>
    <t>Amount of fine imposed</t>
  </si>
  <si>
    <t>Date on which fine realized</t>
  </si>
  <si>
    <t>1[FORM XXI [See rule 78 (1)(a)(ii)] Register of fines Remarks</t>
  </si>
  <si>
    <t>Date and amount of advance given</t>
  </si>
  <si>
    <t>No of installments by which advance to be repair</t>
  </si>
  <si>
    <t>Date and amount of each instruments repair</t>
  </si>
  <si>
    <t>Date on which last installment was repair</t>
  </si>
  <si>
    <t>FORM XXII 1[See rule 78 (1) (a)(ii)] Register of Advances Remarks</t>
  </si>
  <si>
    <t>Date on which overtime worked</t>
  </si>
  <si>
    <t>Total overtime worked per hour</t>
  </si>
  <si>
    <t>Normal rate of wages</t>
  </si>
  <si>
    <t>Overtime rate of  wages per hour</t>
  </si>
  <si>
    <t>Total Overtime earning</t>
  </si>
  <si>
    <t>Date on which overtime wages paid</t>
  </si>
  <si>
    <t>D.A</t>
  </si>
  <si>
    <t>HRA</t>
  </si>
  <si>
    <t>Medical Allowance</t>
  </si>
  <si>
    <t>Leave Encashment</t>
  </si>
  <si>
    <t>Conveyance</t>
  </si>
  <si>
    <t>Statutory Bonus</t>
  </si>
  <si>
    <t>Other Allowance</t>
  </si>
  <si>
    <t>Additional Salary Component, If any</t>
  </si>
  <si>
    <t>Employer PF</t>
  </si>
  <si>
    <t>Employee PF</t>
  </si>
  <si>
    <t>Employer EPS</t>
  </si>
  <si>
    <t>Employer EDLI</t>
  </si>
  <si>
    <t>Employer PF admin charges</t>
  </si>
  <si>
    <t>ESIC Employer</t>
  </si>
  <si>
    <t>ESIC Employee</t>
  </si>
  <si>
    <t>Bank Name</t>
  </si>
  <si>
    <t>Date of Remittance (Salary transfer date)</t>
  </si>
  <si>
    <t>Total days worked</t>
  </si>
  <si>
    <t>Employer LWF</t>
  </si>
  <si>
    <t>Employee LWF</t>
  </si>
  <si>
    <t>Total LWF</t>
  </si>
  <si>
    <t>LWF payment date</t>
  </si>
  <si>
    <t>PT amount</t>
  </si>
  <si>
    <t>PT payment date</t>
  </si>
  <si>
    <t>PT payment monthly/half yearly / yearly</t>
  </si>
  <si>
    <t>Bonus calculation</t>
  </si>
  <si>
    <t>Bonus eligibility</t>
  </si>
  <si>
    <t>Monthly Gratuity calculation</t>
  </si>
  <si>
    <t>Gratuity Eligibility</t>
  </si>
  <si>
    <t>Employer  PF Registration</t>
  </si>
  <si>
    <t>EPF wages (same as Basic)</t>
  </si>
  <si>
    <t>EPS wages (same as Basic)</t>
  </si>
  <si>
    <t>EDLI wages (same as Basic)</t>
  </si>
  <si>
    <t>EPF Contri remitted (12% of EPF wages)</t>
  </si>
  <si>
    <t>EPS Contri remitted (8.33% of EPF wages or max 1250)</t>
  </si>
  <si>
    <t>EPF and EPS differences</t>
  </si>
  <si>
    <t>NCP days</t>
  </si>
  <si>
    <t>Amount Refund of advances</t>
  </si>
  <si>
    <t>Last Working Day (DD-MM-YYYY) (ESIC)</t>
  </si>
  <si>
    <t>Detailed Reason for Last Working Day</t>
  </si>
  <si>
    <t>Cost Center</t>
  </si>
  <si>
    <t>EPF Date of Joining / For Apprenticeship EPF is N.A</t>
  </si>
  <si>
    <t>EPF Date of Exit / For Apprenticeship EPF is N.A</t>
  </si>
  <si>
    <t>CTC (Annual)</t>
  </si>
  <si>
    <t>Gross Salary (Monthly)</t>
  </si>
  <si>
    <t>Net Salary (Monthly)</t>
  </si>
  <si>
    <t>Leave Without Pay (LWP) Days</t>
  </si>
  <si>
    <t>Bank Account Number</t>
  </si>
  <si>
    <t>IFSC Code</t>
  </si>
  <si>
    <t>Bonus Payment Month</t>
  </si>
  <si>
    <t>Bonus Amount Paid</t>
  </si>
  <si>
    <t>Date of Gratuity Eligibility</t>
  </si>
  <si>
    <t>Gratuity Amount Payable</t>
  </si>
  <si>
    <t>Last Delivery Date</t>
  </si>
  <si>
    <t>CTC</t>
  </si>
  <si>
    <t>Basic Wage</t>
  </si>
  <si>
    <t>DA</t>
  </si>
  <si>
    <t>Bonus Eligibility</t>
  </si>
  <si>
    <t>Bonus Paid</t>
  </si>
  <si>
    <t>Gratuity Eligibility Date</t>
  </si>
  <si>
    <t>Leave Encashment Eligibility</t>
  </si>
  <si>
    <t>Stipend Amount (₹) - Apprentice</t>
  </si>
  <si>
    <t>Number of Dependants</t>
  </si>
  <si>
    <t>Total Deduction from salary</t>
  </si>
  <si>
    <t>Amount of Damage / Loss</t>
  </si>
  <si>
    <t>Amount per Installment  Damage / Loss</t>
  </si>
  <si>
    <t>Date of Offence</t>
  </si>
  <si>
    <t>Date of Show Cause Notice</t>
  </si>
  <si>
    <t>Date of Explanation Received</t>
  </si>
  <si>
    <t>Date on which Fine Imposed</t>
  </si>
  <si>
    <t>Date on which Offence Noticed</t>
  </si>
  <si>
    <t>Date of Fine Order MW</t>
  </si>
  <si>
    <t>Amount of Fine (₹) MW</t>
  </si>
  <si>
    <t>Date of Recovery MW</t>
  </si>
  <si>
    <t>Amount Recovered Till Date</t>
  </si>
  <si>
    <t>Date of Order MW</t>
  </si>
  <si>
    <t>Amount Ordered (₹) Damages</t>
  </si>
  <si>
    <t>Wage Period of Recovery MW Damages</t>
  </si>
  <si>
    <t>Cumulative Deducted (₹) MW Damages</t>
  </si>
  <si>
    <t>% of Wages Deducted MW Damages</t>
  </si>
  <si>
    <t>Other deduction MW</t>
  </si>
  <si>
    <t>Date of payment</t>
  </si>
  <si>
    <t>Total Loss of pay</t>
  </si>
  <si>
    <t>Weekly Holiday</t>
  </si>
  <si>
    <t>Days Worked (Prev. Year)</t>
  </si>
  <si>
    <t>Leave Entitlement (Days)</t>
  </si>
  <si>
    <t>Leave Applied (Days)</t>
  </si>
  <si>
    <t>Wages Paid During Leave</t>
  </si>
  <si>
    <t>Leave From Date</t>
  </si>
  <si>
    <t>Leave To Date</t>
  </si>
  <si>
    <t>Date &amp; Time of Accident</t>
  </si>
  <si>
    <t>Days Lost (LTI) / Estimated Days of Absence:</t>
  </si>
  <si>
    <t>Date Reported to Inspector</t>
  </si>
  <si>
    <t>Apprentices Act Date of Contract Execution</t>
  </si>
  <si>
    <t>Apprentices Act Date of Expiry</t>
  </si>
  <si>
    <t>Apprentices Act Earned Stipend (₹) (Prorated) / Month</t>
  </si>
  <si>
    <t>Apprentices Act BOAT Regn. Date</t>
  </si>
  <si>
    <t>Apprentices Deductions (₹) (Absence)</t>
  </si>
  <si>
    <t>Apprentices Net Stipend</t>
  </si>
  <si>
    <t>MATERNITY No. of Days</t>
  </si>
  <si>
    <t>MATERNITY Date of Certificate</t>
  </si>
  <si>
    <t>Date of Confinement (Expected)</t>
  </si>
  <si>
    <t>Date of Confinement (Actual)</t>
  </si>
  <si>
    <t>MATERNITY  Daily Wage (₹)</t>
  </si>
  <si>
    <t>Total Maternity Benefit (₹)</t>
  </si>
  <si>
    <t>Others Allowance</t>
  </si>
  <si>
    <t>Society Deduction</t>
  </si>
  <si>
    <t>Employee Insurance deduction</t>
  </si>
  <si>
    <t>Medical Insurance deduction</t>
  </si>
  <si>
    <t>Subsistance allowance if any</t>
  </si>
  <si>
    <t>Exit Interview Status</t>
  </si>
  <si>
    <t>Asset Recovery Status</t>
  </si>
  <si>
    <t>BGV Status</t>
  </si>
  <si>
    <t>Compliance Risk Category</t>
  </si>
  <si>
    <t>Mode of Wage Payment (Cash/Bank/Cheque)</t>
  </si>
  <si>
    <t>Offer Letter Issued (Yes/No)</t>
  </si>
  <si>
    <t>Appointment Letter Issued (Yes/No)</t>
  </si>
  <si>
    <t>Form 11 (EPF) Submitted (Yes/No)</t>
  </si>
  <si>
    <t>Form 1 (ESI) Submitted (Yes/No)</t>
  </si>
  <si>
    <t>Nomination Form Submitted (Yes/No)</t>
  </si>
  <si>
    <t>Document Upload Status</t>
  </si>
  <si>
    <t>Last Audit Date</t>
  </si>
  <si>
    <t>Auditor Name</t>
  </si>
  <si>
    <t>Compliance Officer Name</t>
  </si>
  <si>
    <t>TDS Applicable</t>
  </si>
  <si>
    <t>TDS Section</t>
  </si>
  <si>
    <t>TDS Amount</t>
  </si>
  <si>
    <t>Factory / S&amp;E Applicability</t>
  </si>
  <si>
    <t>Inspection Remarks</t>
  </si>
  <si>
    <t>Last Compliance Audit Date</t>
  </si>
  <si>
    <t>Document Verification Status</t>
  </si>
  <si>
    <t>Police Verification Status</t>
  </si>
  <si>
    <t>Training Completion Status</t>
  </si>
  <si>
    <t>PPE Issued</t>
  </si>
  <si>
    <t>Full &amp; Final Settlement Status</t>
  </si>
  <si>
    <t>ER-1 Return Eligibility Flag (&gt;100 workers)</t>
  </si>
  <si>
    <t>ER-2 Return Eligibility Flag (&gt;100 workers)</t>
  </si>
  <si>
    <t>Factory Incident Date, Time &amp; Day of Dangerous Occurrence:</t>
  </si>
  <si>
    <t>Factory Incident Exact Location within Factory:</t>
  </si>
  <si>
    <t>Factory Incident Type / Category of Dangerous Occurrence:</t>
  </si>
  <si>
    <t>Factory Incident Detailed Description of the Occurrence:</t>
  </si>
  <si>
    <t>Factory Incident Plant, Machinery, Equipment Involved:</t>
  </si>
  <si>
    <t>Factory Incident Injuries to Person(s) – Names &amp; Extent:</t>
  </si>
  <si>
    <t>Factory Incident Damage to Property – Description &amp; Value (₹):</t>
  </si>
  <si>
    <t>Factory Incident Probable Cause of Dangerous Occurrence:</t>
  </si>
  <si>
    <t>Factory Incident Immediate Action Taken:</t>
  </si>
  <si>
    <t>Factory Incident Was Factory Production Stopped? (Y/N):</t>
  </si>
  <si>
    <t>Factory Incident Estimated Duration of Stoppage (hrs):</t>
  </si>
  <si>
    <t>Factory Incident Was Fire Brigade / MIDC / PESO Informed?:</t>
  </si>
  <si>
    <t>Factory Incident Names of Witnesses:</t>
  </si>
  <si>
    <t>Factory Incident Name of Investigator (Internal):</t>
  </si>
  <si>
    <t>Factory Incident Investigation Committee Members:</t>
  </si>
  <si>
    <t>Factory Incident Root Cause Analysis Summary:</t>
  </si>
  <si>
    <t>Factory Incident Corrective &amp; Preventive Measures Proposed:</t>
  </si>
  <si>
    <t>Factory Incident Target Date for Implementation:</t>
  </si>
  <si>
    <t>Factory Incident Date of Reporting to Chief Inspector:</t>
  </si>
  <si>
    <t>Factory Incident Remarks / Additional Information:</t>
  </si>
  <si>
    <t>Factory Incident Occurrence Ref. No.</t>
  </si>
  <si>
    <t>Factory Incident Investigation Committee</t>
  </si>
  <si>
    <t>Factory Incident Follow-up Date</t>
  </si>
  <si>
    <t>Factory Incident Status</t>
  </si>
  <si>
    <t>Name and address of the establishment registered</t>
  </si>
  <si>
    <t>Name of the principal employer and his address</t>
  </si>
  <si>
    <t>Total No. of workmen directly employed.</t>
  </si>
  <si>
    <t>Nature of work in which contract labour is employment or is to be employed</t>
  </si>
  <si>
    <t>Probable duration of employment of contract labour</t>
  </si>
  <si>
    <t>Amount of previous security deposit</t>
  </si>
  <si>
    <t>Name and Address of the establishment</t>
  </si>
  <si>
    <t>Signature or thumb impression of workmen</t>
  </si>
  <si>
    <t>Reasons for termination</t>
  </si>
  <si>
    <t>Nature of work done</t>
  </si>
  <si>
    <t>Name of workman</t>
  </si>
  <si>
    <t>Other cash payments (nature of payments to be indicated)</t>
  </si>
  <si>
    <t>Deduc- tions  if any (indicate nature)</t>
  </si>
  <si>
    <t>Sign- ature /thumb impress- sion of work- man</t>
  </si>
  <si>
    <t>Initials of con- Tractor or the repre- native</t>
  </si>
  <si>
    <t>Whether workmen showed cause against deduction</t>
  </si>
  <si>
    <t>Name of person in whose presence employee’s explanation was heard</t>
  </si>
  <si>
    <t>Amount deduction imposed</t>
  </si>
  <si>
    <t>No. of installments</t>
  </si>
  <si>
    <t>Wage period and Wages payable</t>
  </si>
  <si>
    <t>Purpose(s) for which advance made</t>
  </si>
  <si>
    <t>PT</t>
  </si>
  <si>
    <t>LWF</t>
  </si>
  <si>
    <t>NFH</t>
  </si>
  <si>
    <t>Working hours From To</t>
  </si>
  <si>
    <t>Intervals for rest or meal From To</t>
  </si>
  <si>
    <t>LWF payment monthly/half yearly / yearly</t>
  </si>
  <si>
    <t>Father’s Aadhaar card</t>
  </si>
  <si>
    <t>Father’s PAN</t>
  </si>
  <si>
    <t>Father’s Higher Education</t>
  </si>
  <si>
    <t>Father’s E-mail ID</t>
  </si>
  <si>
    <t>Mother’s Aadhaar card</t>
  </si>
  <si>
    <t>Mother’s Higher Education</t>
  </si>
  <si>
    <t>Mother’s PAN</t>
  </si>
  <si>
    <t>Mother’s E-mail ID</t>
  </si>
  <si>
    <t>LWF Registration Number</t>
  </si>
  <si>
    <t>LWF Applicability</t>
  </si>
  <si>
    <t>Professional Tax Applicability</t>
  </si>
  <si>
    <t>PwD Certificate Issuing Authority</t>
  </si>
  <si>
    <t>Mode of Payment</t>
  </si>
  <si>
    <t>Nature of Offence</t>
  </si>
  <si>
    <t>Wage Period of Fine MW</t>
  </si>
  <si>
    <t>Balance Outstanding</t>
  </si>
  <si>
    <t>Overtime Hours (From – To)</t>
  </si>
  <si>
    <t>Reply Received MW</t>
  </si>
  <si>
    <t>Balance Pending (₹) MW recovery</t>
  </si>
  <si>
    <t>Leave C/F</t>
  </si>
  <si>
    <t>Total Leave Available</t>
  </si>
  <si>
    <t>Leave Availed</t>
  </si>
  <si>
    <t>Overtime Hours Worked</t>
  </si>
  <si>
    <t>Name of Injured Person</t>
  </si>
  <si>
    <t>Hospital Admitted (Y/N)</t>
  </si>
  <si>
    <t>Factory Incidenct Office of Chief Inspector (Address):</t>
  </si>
  <si>
    <t>Category (SC/ST/ OBC/GEN/ PwD)</t>
  </si>
  <si>
    <t>Educational Qualification</t>
  </si>
  <si>
    <t>Duration of Apprenticeship (Months)</t>
  </si>
  <si>
    <t>MATERNITY Leave Approved By</t>
  </si>
  <si>
    <t>Leave Approved By</t>
  </si>
  <si>
    <t>MATERNITY Weeks of Leave Entitled</t>
  </si>
  <si>
    <t>Maternity Medical Bonus (₹)</t>
  </si>
  <si>
    <t>Employer ESI Registration</t>
  </si>
  <si>
    <t>Permanent home address of workman (village and tehsil/taluk and district)</t>
  </si>
  <si>
    <t>Local address</t>
  </si>
  <si>
    <t>State</t>
  </si>
  <si>
    <t>Country</t>
  </si>
  <si>
    <t>Branch Code</t>
  </si>
  <si>
    <t>Region</t>
  </si>
  <si>
    <t>ESI Dispensary Name</t>
  </si>
  <si>
    <t>ESI Dispensary Location</t>
  </si>
  <si>
    <t>Place / Location of Accident:</t>
  </si>
  <si>
    <t>Termination Remarks</t>
  </si>
  <si>
    <t>ESIC Reason</t>
  </si>
  <si>
    <t>Employee Status (Active/Inactive)</t>
  </si>
  <si>
    <t>EPF Exit Reason</t>
  </si>
  <si>
    <t>Total period for Which employed From</t>
  </si>
  <si>
    <t>Total period for Which employed To</t>
  </si>
  <si>
    <t>Apprenticeship Period From</t>
  </si>
  <si>
    <t>Apprenticeship Period To</t>
  </si>
  <si>
    <t>MATERNITY Leave from</t>
  </si>
  <si>
    <t>MATERNITY Leave to</t>
  </si>
  <si>
    <t>Incident /Accident Ref. No.</t>
  </si>
  <si>
    <t>Medical Token No.</t>
  </si>
  <si>
    <t>Nature of Accident/ Incident</t>
  </si>
  <si>
    <t>Description of Accident / Incident</t>
  </si>
  <si>
    <t>Body Part Injured</t>
  </si>
  <si>
    <t>Severity (Minor/Major/ Fatal)</t>
  </si>
  <si>
    <t>First Aid Given (Y/N)</t>
  </si>
  <si>
    <t>Accident/ Incident Compensation Paid (₹)</t>
  </si>
  <si>
    <t>Accident Action Taken / Preventive Measures</t>
  </si>
  <si>
    <t>Name &amp; Address of Hospital:</t>
  </si>
  <si>
    <t>Probable Cause of Accident:</t>
  </si>
  <si>
    <t>Witnesses (Names &amp; Tokens):</t>
  </si>
  <si>
    <t>Compensation Applicable (Y/N):</t>
  </si>
  <si>
    <t>Accident / Incident register Remarks / Additional Details:</t>
  </si>
  <si>
    <t>Apprentice (Yes/No)</t>
  </si>
  <si>
    <t>Apprentice Category</t>
  </si>
  <si>
    <t>Apprenticeship Trade / Subject</t>
  </si>
  <si>
    <t>Creche Entitlement Flag (Yes/No)</t>
  </si>
  <si>
    <t>Apprentices Act, 1961 Remarks</t>
  </si>
  <si>
    <t>Apprentices Act, 1961 Leave Type (SL/EL/CL)</t>
  </si>
  <si>
    <t>Apprentices Act, 1961  Contract No.</t>
  </si>
  <si>
    <t>Apprentices Act Contract Registered With BOAT (Y/N)</t>
  </si>
  <si>
    <t>Apprentices Act Contract Status (Active/ Completed/ Terminated)</t>
  </si>
  <si>
    <t>Apprentices Contract Register Remarks</t>
  </si>
  <si>
    <t>Stipend Register Remarks</t>
  </si>
  <si>
    <t>Maternity Benefit Availed (Yes/No)</t>
  </si>
  <si>
    <t>Maternity Benefit Eligibility</t>
  </si>
  <si>
    <t>Maternity Leave Type (26 Wks / 12 Wks / Adoption / Commissioning)</t>
  </si>
  <si>
    <t>MATERNITY Pre-natal Leave (Weeks)</t>
  </si>
  <si>
    <t>MATERNITY Post-natal Leave (Weeks)</t>
  </si>
  <si>
    <t>MATERNITY Certificate No.</t>
  </si>
  <si>
    <t>MATERNITY Remarks</t>
  </si>
  <si>
    <t>Remarks</t>
  </si>
  <si>
    <t>Employment Card remarks</t>
  </si>
  <si>
    <t>Unnamed: 169</t>
  </si>
  <si>
    <t>Unnamed: 170</t>
  </si>
  <si>
    <t>Unnamed: 172</t>
  </si>
  <si>
    <t>Internal Remarks</t>
  </si>
  <si>
    <t>MW Act Remarks</t>
  </si>
  <si>
    <t>Form 11  Register of Adult Workers Remarks</t>
  </si>
  <si>
    <t>Maternity Benefit Register Remarks</t>
  </si>
  <si>
    <t>ISMW remarks</t>
  </si>
  <si>
    <t>FORM XV (See rule 77) Service Certificate Remark</t>
  </si>
  <si>
    <t>FORM XXIII 1[See rule 78 (1)(a)(iii)] Register of overtime Remarks</t>
  </si>
  <si>
    <t>[FORM V-A [See rule 24 (1-A)] Remarks</t>
  </si>
  <si>
    <t>Form 11 FA Remarks</t>
  </si>
  <si>
    <t>Seq No.</t>
  </si>
  <si>
    <t>Original Column Name</t>
  </si>
  <si>
    <t>New Structured Column Name</t>
  </si>
  <si>
    <t>Section Name</t>
  </si>
  <si>
    <t>Sub Category</t>
  </si>
  <si>
    <t>Purpose</t>
  </si>
  <si>
    <t>Mandatory / Optional</t>
  </si>
  <si>
    <t>Data Type</t>
  </si>
  <si>
    <t>User Responsible</t>
  </si>
  <si>
    <t>Validation Logic</t>
  </si>
  <si>
    <t>Source Register</t>
  </si>
  <si>
    <t>Used In Calculation</t>
  </si>
  <si>
    <t>Formula Dependency</t>
  </si>
  <si>
    <t>Statutory Dependency</t>
  </si>
  <si>
    <t>Compliance Dependency</t>
  </si>
  <si>
    <t>Payroll Dependency</t>
  </si>
  <si>
    <t>Attendance Dependency</t>
  </si>
  <si>
    <t>Audit Dependency</t>
  </si>
  <si>
    <t>Auto Generated / Manual</t>
  </si>
  <si>
    <t>User Input Instruction</t>
  </si>
  <si>
    <t>General</t>
  </si>
  <si>
    <t>Captures Sl.no for statutory compliance, payroll processing, and audit trail under PRIMARY IDENTIFICATION module.</t>
  </si>
  <si>
    <t>Mandatory</t>
  </si>
  <si>
    <t>Text</t>
  </si>
  <si>
    <t>HR / Contractor Admin</t>
  </si>
  <si>
    <t>Free text; max 255 chars</t>
  </si>
  <si>
    <t>Master Employee Register</t>
  </si>
  <si>
    <t>Reference / Reporting</t>
  </si>
  <si>
    <t>No</t>
  </si>
  <si>
    <t>Manual Entry</t>
  </si>
  <si>
    <t>Enter Sl.no. Enter exact value as per official document.</t>
  </si>
  <si>
    <t>Compliance gap alert if blank for active employees</t>
  </si>
  <si>
    <t>Licence &amp; Registration</t>
  </si>
  <si>
    <t>Captures Registration No. and date for statutory compliance, payroll processing, and audit trail under PRIMARY IDENTIFICATION module.</t>
  </si>
  <si>
    <t>Date (DD-MM-YYYY)</t>
  </si>
  <si>
    <t>DD-MM-YYYY; no future dates for historical; range check</t>
  </si>
  <si>
    <t>Register of Wages (Form XVII)</t>
  </si>
  <si>
    <t>Yes - payroll input</t>
  </si>
  <si>
    <t>Statutory compliance filing required</t>
  </si>
  <si>
    <t>Direct payroll calculation</t>
  </si>
  <si>
    <t>Yes</t>
  </si>
  <si>
    <t>Enter Registration No. and date. Use DD-MM-YYYY format; validate range.</t>
  </si>
  <si>
    <t>Captures Number and date of licence for statutory compliance, payroll processing, and audit trail under PRIMARY IDENTIFICATION module.</t>
  </si>
  <si>
    <t>Optional</t>
  </si>
  <si>
    <t>Enter Number and date of licence. Use DD-MM-YYYY format; validate range.</t>
  </si>
  <si>
    <t>Captures Date of expiry of previous licence for statutory compliance, payroll processing, and audit trail under PRIMARY IDENTIFICATION module.</t>
  </si>
  <si>
    <t>Enter Date of expiry of previous licence. Use DD-MM-YYYY format; validate range.</t>
  </si>
  <si>
    <t>Captures Whether the licence  of the contractor was suspended or revoked for statutory compliance, payroll processing, and audit trail under PRIMARY IDENTIFICATION module.</t>
  </si>
  <si>
    <t>Numeric; non-negative</t>
  </si>
  <si>
    <t>Workmen Register (Form XIII)</t>
  </si>
  <si>
    <t>CLRA Act 1970</t>
  </si>
  <si>
    <t>Enter Whether the licence  of the contractor was suspended or revoked. Optional; fill if applicable.</t>
  </si>
  <si>
    <t>Captures [No and date of the demand draft of security deposit in respect of the previous deposits previous licence] for statutory compliance, payroll processing, and audit trail under PRIMARY IDENTIFICATION module.</t>
  </si>
  <si>
    <t>Enter [No and date of the demand draft of security deposit in respect of the previous deposits previous licence]. Use DD-MM-YYYY format; validate range.</t>
  </si>
  <si>
    <t>Captures No. and date of certificate of  registration of the establishment in relation to which the new licence is applied for for statutory compliance, payroll processing, and audit trail under PRIMARY IDENTIFICATION module.</t>
  </si>
  <si>
    <t>Enter No. and date of certificate of  registration of the establishment in relation to which the new licence is applied for. Use DD-MM-YYYY format; validate range.</t>
  </si>
  <si>
    <t>Captures Number and date of Certificate of Registration for statutory compliance, payroll processing, and audit trail under PRIMARY IDENTIFICATION module.</t>
  </si>
  <si>
    <t>Enter Number and date of Certificate of Registration. Use DD-MM-YYYY format; validate range.</t>
  </si>
  <si>
    <t>System ID</t>
  </si>
  <si>
    <t>Captures Employee code for statutory compliance, payroll processing, and audit trail under PRIMARY IDENTIFICATION module.</t>
  </si>
  <si>
    <t>Enter Employee code. Enter exact value as per official document.</t>
  </si>
  <si>
    <t>Duplicate check required</t>
  </si>
  <si>
    <t>Captures Workman sl .no for statutory compliance, payroll processing, and audit trail under PRIMARY IDENTIFICATION module.</t>
  </si>
  <si>
    <t>Enter Workman sl .no. Optional; fill if applicable.</t>
  </si>
  <si>
    <t>Captures Serial number in the register of workmen employed for statutory compliance, payroll processing, and audit trail under PRIMARY IDENTIFICATION module.</t>
  </si>
  <si>
    <t>Enter Serial number in the register of workmen employed. Enter exact value as per official document.</t>
  </si>
  <si>
    <t>Captures Serial No.in the register of workmen for statutory compliance, payroll processing, and audit trail under PRIMARY IDENTIFICATION module.</t>
  </si>
  <si>
    <t>Enter Serial No.in the register of workmen. Optional; fill if applicable.</t>
  </si>
  <si>
    <t>EPF Identifier</t>
  </si>
  <si>
    <t>Captures UAN Number for statutory compliance, payroll processing, and audit trail under PRIMARY IDENTIFICATION module.</t>
  </si>
  <si>
    <t>Alpha-Numeric (Validated)</t>
  </si>
  <si>
    <t>12-digit numeric; must be unique per employee</t>
  </si>
  <si>
    <t>EPF &amp; MP Act 1952 / Form 5/10/3A/6A</t>
  </si>
  <si>
    <t>Enter UAN Number. Link to EPFO portal - verify UAN is active.</t>
  </si>
  <si>
    <t>Captures Establishment ID:- for statutory compliance, payroll processing, and audit trail under PRIMARY IDENTIFICATION module.</t>
  </si>
  <si>
    <t>Enter Establishment ID:-. Enter exact value as per official document.</t>
  </si>
  <si>
    <t>Captures TRRN No. for statutory compliance, payroll processing, and audit trail under PRIMARY IDENTIFICATION module.</t>
  </si>
  <si>
    <t>Enter TRRN No.. Optional; fill if applicable.</t>
  </si>
  <si>
    <t>ESIC Identifier</t>
  </si>
  <si>
    <t>Captures ESIC IP no for statutory compliance, payroll processing, and audit trail under PRIMARY IDENTIFICATION module.</t>
  </si>
  <si>
    <t>Number / Currency (₹)</t>
  </si>
  <si>
    <t>ESIC Contribution Register</t>
  </si>
  <si>
    <t>ESI Act 1948 / Form 1/1A/6</t>
  </si>
  <si>
    <t>Enter ESIC IP no. Must match ESIC portal records.</t>
  </si>
  <si>
    <t>Captures IP Number (ESIC) for statutory compliance, payroll processing, and audit trail under PRIMARY IDENTIFICATION module.</t>
  </si>
  <si>
    <t>Enter IP Number (ESIC). Must match ESIC portal records.</t>
  </si>
  <si>
    <t>Captures ESIC Reason Code for statutory compliance, payroll processing, and audit trail under PRIMARY IDENTIFICATION module.</t>
  </si>
  <si>
    <t>Enter ESIC Reason Code. Must match ESIC portal records.</t>
  </si>
  <si>
    <t>Captures Apprenticeship Registration No. for statutory compliance, payroll processing, and audit trail under PRIMARY IDENTIFICATION module.</t>
  </si>
  <si>
    <t>Apprentices Act 1961</t>
  </si>
  <si>
    <t>Enter Apprenticeship Registration No.. Enter exact value as per official document.</t>
  </si>
  <si>
    <t>Captures Regnix Employee ID for statutory compliance, payroll processing, and audit trail under PRIMARY IDENTIFICATION module.</t>
  </si>
  <si>
    <t>Enter Regnix Employee ID. Optional; fill if applicable.</t>
  </si>
  <si>
    <t>Captures ESIC IP Number for statutory compliance, payroll processing, and audit trail under PRIMARY IDENTIFICATION module.</t>
  </si>
  <si>
    <t>Enter ESIC IP Number. Must match ESIC portal records.</t>
  </si>
  <si>
    <t>Contractor Details</t>
  </si>
  <si>
    <t>Captures Contractor Code for statutory compliance, payroll processing, and audit trail under PRIMARY IDENTIFICATION module.</t>
  </si>
  <si>
    <t>Enter Contractor Code. Optional; fill if applicable.</t>
  </si>
  <si>
    <t>Captures NATS / NAPS Registration No. for statutory compliance, payroll processing, and audit trail under PRIMARY IDENTIFICATION module.</t>
  </si>
  <si>
    <t>Enter NATS / NAPS Registration No.. Enter exact value as per official document.</t>
  </si>
  <si>
    <t>Captures PwD Certificate Number for statutory compliance, payroll processing, and audit trail under PRIMARY IDENTIFICATION module.</t>
  </si>
  <si>
    <t>Enter PwD Certificate Number. Optional; fill if applicable.</t>
  </si>
  <si>
    <t>Gratuity</t>
  </si>
  <si>
    <t>Captures Form A - Gratuity Notice Filing Date for statutory compliance, payroll processing, and audit trail under PRIMARY IDENTIFICATION module.</t>
  </si>
  <si>
    <t>Payment of Gratuity Act 1972</t>
  </si>
  <si>
    <t>Core attendance tracking field</t>
  </si>
  <si>
    <t>Enter Form A - Gratuity Notice Filing Date. Use DD-MM-YYYY format; validate range.</t>
  </si>
  <si>
    <t>Captures Gratuity Insurance Policy No. (if any) for statutory compliance, payroll processing, and audit trail under PRIMARY IDENTIFICATION module.</t>
  </si>
  <si>
    <t>Gratuity Register</t>
  </si>
  <si>
    <t>Enter Gratuity Insurance Policy No. (if any). Optional; fill if applicable.</t>
  </si>
  <si>
    <t>Captures Registration No. (NAPS/BOAT) for statutory compliance, payroll processing, and audit trail under PRIMARY IDENTIFICATION module.</t>
  </si>
  <si>
    <t>Enter Registration No. (NAPS/BOAT). Enter exact value as per official document.</t>
  </si>
  <si>
    <t>Captures Name and address of contractor for statutory compliance, payroll processing, and audit trail under SUPPLIER / CONTRACTOR INFORMATION module.</t>
  </si>
  <si>
    <t>Enter Name and address of contractor. Enter exact value as per official document.</t>
  </si>
  <si>
    <t>Captures Name and address of the contractor for statutory compliance, payroll processing, and audit trail under SUPPLIER / CONTRACTOR INFORMATION module.</t>
  </si>
  <si>
    <t>Enter Name and address of the contractor. Enter exact value as per official document.</t>
  </si>
  <si>
    <t>Captures Name and address of the principal employer for statutory compliance, payroll processing, and audit trail under SUPPLIER / CONTRACTOR INFORMATION module.</t>
  </si>
  <si>
    <t>Enter Name and address of the principal employer. Enter exact value as per official document.</t>
  </si>
  <si>
    <t>Captures Particulars of fresh contract for statutory compliance, payroll processing, and audit trail under SUPPLIER / CONTRACTOR INFORMATION module.</t>
  </si>
  <si>
    <t>Enter Particulars of fresh contract. Optional; fill if applicable.</t>
  </si>
  <si>
    <t>Captures Name and Address of Contractor for statutory compliance, payroll processing, and audit trail under SUPPLIER / CONTRACTOR INFORMATION module.</t>
  </si>
  <si>
    <t>Enter Name and Address of Contractor. Enter exact value as per official document.</t>
  </si>
  <si>
    <t>Captures Nature of Work of Contract for statutory compliance, payroll processing, and audit trail under SUPPLIER / CONTRACTOR INFORMATION module.</t>
  </si>
  <si>
    <t>Enter Nature of Work of Contract. Optional; fill if applicable.</t>
  </si>
  <si>
    <t>Captures Location Contract Work for statutory compliance, payroll processing, and audit trail under SUPPLIER / CONTRACTOR INFORMATION module.</t>
  </si>
  <si>
    <t>Enter Location Contract Work. Optional; fill if applicable.</t>
  </si>
  <si>
    <t>Contract Details</t>
  </si>
  <si>
    <t>Captures Contract Validity from for statutory compliance, payroll processing, and audit trail under SUPPLIER / CONTRACTOR INFORMATION module.</t>
  </si>
  <si>
    <t>Enter Contract Validity from. Optional; fill if applicable.</t>
  </si>
  <si>
    <t>Captures Contract Validity To for statutory compliance, payroll processing, and audit trail under SUPPLIER / CONTRACTOR INFORMATION module.</t>
  </si>
  <si>
    <t>Enter Contract Validity To. Optional; fill if applicable.</t>
  </si>
  <si>
    <t>Vendor Finance</t>
  </si>
  <si>
    <t>Captures Vendor GSTIN for statutory compliance, payroll processing, and audit trail under SUPPLIER / CONTRACTOR INFORMATION module.</t>
  </si>
  <si>
    <t>Enter Vendor GSTIN. Optional; fill if applicable.</t>
  </si>
  <si>
    <t>Captures Contractor's Nature/ name of work for statutory compliance, payroll processing, and audit trail under SUPPLIER / CONTRACTOR INFORMATION module.</t>
  </si>
  <si>
    <t>Enter Contractor's Nature/ name of work. Enter exact value as per official document.</t>
  </si>
  <si>
    <t>Captures Apprentices Act Contractor / TPEA Name for statutory compliance, payroll processing, and audit trail under SUPPLIER / CONTRACTOR INFORMATION module.</t>
  </si>
  <si>
    <t>Enter Apprentices Act Contractor / TPEA Name. Enter exact value as per official document.</t>
  </si>
  <si>
    <t>Trade / Skill</t>
  </si>
  <si>
    <t>Captures Type of business trade, industry, manufacture or occupation, which is carried on in the establishment for statutory compliance, payroll processing, and audit trail under EMPLOYMENT INFORMATION module.</t>
  </si>
  <si>
    <t>HR Manager</t>
  </si>
  <si>
    <t>Enter Type of business trade, industry, manufacture or occupation, which is carried on in the establishment. Optional; fill if applicable.</t>
  </si>
  <si>
    <t>Captures Maximum Number of Workmen Employed by Contractor for statutory compliance, payroll processing, and audit trail under EMPLOYMENT INFORMATION module.</t>
  </si>
  <si>
    <t>Enter Maximum Number of Workmen Employed by Contractor. Optional; fill if applicable.</t>
  </si>
  <si>
    <t>Role &amp; Dept</t>
  </si>
  <si>
    <t>Captures Nature of Employment /designation for statutory compliance, payroll processing, and audit trail under EMPLOYMENT INFORMATION module.</t>
  </si>
  <si>
    <t>Enter Nature of Employment /designation. Enter exact value as per official document.</t>
  </si>
  <si>
    <t>Captures Date of commence-ment of employment for statutory compliance, payroll processing, and audit trail under EMPLOYMENT INFORMATION module.</t>
  </si>
  <si>
    <t>Enter Date of commence-ment of employment. Use DD-MM-YYYY format; validate range.</t>
  </si>
  <si>
    <t>Captures Nature of employment/designation for statutory compliance, payroll processing, and audit trail under EMPLOYMENT INFORMATION module.</t>
  </si>
  <si>
    <t>Enter Nature of employment/designation. Enter exact value as per official document.</t>
  </si>
  <si>
    <t>Captures tenure of employment for statutory compliance, payroll processing, and audit trail under EMPLOYMENT INFORMATION module.</t>
  </si>
  <si>
    <t>Enter tenure of employment. Optional; fill if applicable.</t>
  </si>
  <si>
    <t>Captures Department for statutory compliance, payroll processing, and audit trail under EMPLOYMENT INFORMATION module.</t>
  </si>
  <si>
    <t>Enter Department. Optional; fill if applicable.</t>
  </si>
  <si>
    <t>Captures Designation for statutory compliance, payroll processing, and audit trail under EMPLOYMENT INFORMATION module.</t>
  </si>
  <si>
    <t>Enter Designation. Enter exact value as per official document.</t>
  </si>
  <si>
    <t>Captures Work Location for statutory compliance, payroll processing, and audit trail under EMPLOYMENT INFORMATION module.</t>
  </si>
  <si>
    <t>Enter Work Location. Optional; fill if applicable.</t>
  </si>
  <si>
    <t>Shift Management</t>
  </si>
  <si>
    <t>Captures Shift Type for statutory compliance, payroll processing, and audit trail under EMPLOYMENT INFORMATION module.</t>
  </si>
  <si>
    <t>Enter Shift Type. Optional; fill if applicable.</t>
  </si>
  <si>
    <t>Joining Details</t>
  </si>
  <si>
    <t>Captures Joining Source for statutory compliance, payroll processing, and audit trail under EMPLOYMENT INFORMATION module.</t>
  </si>
  <si>
    <t>Enter Joining Source. Enter exact value as per official document.</t>
  </si>
  <si>
    <t>Captures Notice Period for statutory compliance, payroll processing, and audit trail under EMPLOYMENT INFORMATION module.</t>
  </si>
  <si>
    <t>Yes - attendance basis</t>
  </si>
  <si>
    <t>Enter Notice Period. Optional; fill if applicable.</t>
  </si>
  <si>
    <t>Wage Category</t>
  </si>
  <si>
    <t>Captures Applicable Minimum Wage (Zone/Category) for statutory compliance, payroll processing, and audit trail under EMPLOYMENT INFORMATION module.</t>
  </si>
  <si>
    <t>Boolean (Yes/No)</t>
  </si>
  <si>
    <t>Minimum Wages Act 1948</t>
  </si>
  <si>
    <t>Enter Applicable Minimum Wage (Zone/Category). Select from approved dropdown list.</t>
  </si>
  <si>
    <t>Captures Minimum Wage Compliance Status for statutory compliance, payroll processing, and audit trail under EMPLOYMENT INFORMATION module.</t>
  </si>
  <si>
    <t>Enter Minimum Wage Compliance Status. Select from approved dropdown list.</t>
  </si>
  <si>
    <t>Captures Type of Establishment (Factory/Shop/Est.) for statutory compliance, payroll processing, and audit trail under EMPLOYMENT INFORMATION module.</t>
  </si>
  <si>
    <t>Enter Type of Establishment (Factory/Shop/Est.). Optional; fill if applicable.</t>
  </si>
  <si>
    <t>Captures Registration under Factories Act (Yes/No) for statutory compliance, payroll processing, and audit trail under EMPLOYMENT INFORMATION module.</t>
  </si>
  <si>
    <t>Dropdown: Yes / No</t>
  </si>
  <si>
    <t>Enter Registration under Factories Act (Yes/No). Optional; fill if applicable.</t>
  </si>
  <si>
    <t>Captures Registration under Shops &amp; Establishment Act (Yes/No) for statutory compliance, payroll processing, and audit trail under EMPLOYMENT INFORMATION module.</t>
  </si>
  <si>
    <t>Enter Registration under Shops &amp; Establishment Act (Yes/No). Select from approved dropdown list.</t>
  </si>
  <si>
    <t>Captures Wage Parity Verified (Yes/No) for statutory compliance, payroll processing, and audit trail under EMPLOYMENT INFORMATION module.</t>
  </si>
  <si>
    <t>Enter Wage Parity Verified (Yes/No). Select from approved dropdown list.</t>
  </si>
  <si>
    <t>Remarks / Notes</t>
  </si>
  <si>
    <t>Captures Remarks on Equal Remuneration for statutory compliance, payroll processing, and audit trail under EMPLOYMENT INFORMATION module.</t>
  </si>
  <si>
    <t>Enter Remarks on Equal Remuneration. Optional; fill if applicable.</t>
  </si>
  <si>
    <t>Captures Standing Order Category for statutory compliance, payroll processing, and audit trail under EMPLOYMENT INFORMATION module.</t>
  </si>
  <si>
    <t>Enter Standing Order Category. Optional; fill if applicable.</t>
  </si>
  <si>
    <t>Captures Trade Union Membership (Yes/No) for statutory compliance, payroll processing, and audit trail under EMPLOYMENT INFORMATION module.</t>
  </si>
  <si>
    <t>Enter Trade Union Membership (Yes/No). Select from approved dropdown list.</t>
  </si>
  <si>
    <t>Captures Trade Union Name for statutory compliance, payroll processing, and audit trail under EMPLOYMENT INFORMATION module.</t>
  </si>
  <si>
    <t>Enter Trade Union Name. Enter exact value as per official document.</t>
  </si>
  <si>
    <t>Work Site</t>
  </si>
  <si>
    <t>Captures Location / Unit for statutory compliance, payroll processing, and audit trail under EMPLOYMENT INFORMATION module.</t>
  </si>
  <si>
    <t>Enter Location / Unit. Optional; fill if applicable.</t>
  </si>
  <si>
    <t>Captures Shift for statutory compliance, payroll processing, and audit trail under EMPLOYMENT INFORMATION module.</t>
  </si>
  <si>
    <t>Enter Shift. Optional; fill if applicable.</t>
  </si>
  <si>
    <t>Captures Skill Category for statutory compliance, payroll processing, and audit trail under EMPLOYMENT INFORMATION module.</t>
  </si>
  <si>
    <t>Enter Skill Category. Optional; fill if applicable.</t>
  </si>
  <si>
    <t>Captures Minimum Wage Category for statutory compliance, payroll processing, and audit trail under EMPLOYMENT INFORMATION module.</t>
  </si>
  <si>
    <t>Enter Minimum Wage Category. Optional; fill if applicable.</t>
  </si>
  <si>
    <t>Captures Date of entry into service for statutory compliance, payroll processing, and audit trail under EMPLOYMENT INFORMATION module.</t>
  </si>
  <si>
    <t>Enter Date of entry into service. Use DD-MM-YYYY format; validate range.</t>
  </si>
  <si>
    <t>Captures Name of Occupier for statutory compliance, payroll processing, and audit trail under EMPLOYMENT INFORMATION module.</t>
  </si>
  <si>
    <t>Enter Name of Occupier. Enter exact value as per official document.</t>
  </si>
  <si>
    <t>Captures Name of Manager for statutory compliance, payroll processing, and audit trail under EMPLOYMENT INFORMATION module.</t>
  </si>
  <si>
    <t>Enter Name of Manager. Enter exact value as per official document.</t>
  </si>
  <si>
    <t>Captures Name of Team lead for statutory compliance, payroll processing, and audit trail under EMPLOYMENT INFORMATION module.</t>
  </si>
  <si>
    <t>Enter Name of Team lead. Enter exact value as per official document.</t>
  </si>
  <si>
    <t>Captures Name of Buddy 1 for statutory compliance, payroll processing, and audit trail under EMPLOYMENT INFORMATION module.</t>
  </si>
  <si>
    <t>Enter Name of Buddy 1. Enter exact value as per official document.</t>
  </si>
  <si>
    <t>Captures Name of Buddy 2 for statutory compliance, payroll processing, and audit trail under EMPLOYMENT INFORMATION module.</t>
  </si>
  <si>
    <t>Enter Name of Buddy 2. Enter exact value as per official document.</t>
  </si>
  <si>
    <t>Captures HR Name handling this case for statutory compliance, payroll processing, and audit trail under EMPLOYMENT INFORMATION module.</t>
  </si>
  <si>
    <t>Enter HR Name handling this case. Enter exact value as per official document.</t>
  </si>
  <si>
    <t>Father Details</t>
  </si>
  <si>
    <t>Captures Name and Father’s/hus- band’s name surname of workmen for statutory compliance, payroll processing, and audit trail under FAMILY / NOMINEE module.</t>
  </si>
  <si>
    <t>Employee (Self Service)</t>
  </si>
  <si>
    <t>Enter Name and Father’s/hus- band’s name surname of workmen. Enter exact value as per official document.</t>
  </si>
  <si>
    <t>Captures Age and sex/ Gender for statutory compliance, payroll processing, and audit trail under FAMILY / NOMINEE module.</t>
  </si>
  <si>
    <t>Dropdown: Male / Female / Transgender</t>
  </si>
  <si>
    <t>Enter Age and sex/ Gender. Select from approved dropdown list.</t>
  </si>
  <si>
    <t>Captures Identification marks for statutory compliance, payroll processing, and audit trail under FAMILY / NOMINEE module.</t>
  </si>
  <si>
    <t>Enter Identification marks. Optional; fill if applicable.</t>
  </si>
  <si>
    <t>KYC Document</t>
  </si>
  <si>
    <t>Captures Aadhaar card number employee for statutory compliance, payroll processing, and audit trail under FAMILY / NOMINEE module.</t>
  </si>
  <si>
    <t>12-digit numeric; Luhn check; no all-same digits</t>
  </si>
  <si>
    <t>Enter Aadhaar card number employee. Validate against Aadhaar database.</t>
  </si>
  <si>
    <t>KYC / Tax Document</t>
  </si>
  <si>
    <t>Captures Pan card details employee for statutory compliance, payroll processing, and audit trail under FAMILY / NOMINEE module.</t>
  </si>
  <si>
    <t>Pattern: [A-Z]{5}[0-9]{4}[A-Z]{1}</t>
  </si>
  <si>
    <t>Enter Pan card details employee. Must match PAN card exactly.</t>
  </si>
  <si>
    <t>Captures Passport details emplyee for statutory compliance, payroll processing, and audit trail under FAMILY / NOMINEE module.</t>
  </si>
  <si>
    <t>Enter Passport details emplyee. Optional; fill if applicable.</t>
  </si>
  <si>
    <t>Captures Father’s DOB for statutory compliance, payroll processing, and audit trail under FAMILY / NOMINEE module.</t>
  </si>
  <si>
    <t>Enter Father’s DOB. Optional; fill if applicable.</t>
  </si>
  <si>
    <t>Captures Gender for statutory compliance, payroll processing, and audit trail under FAMILY / NOMINEE module.</t>
  </si>
  <si>
    <t>Enter Gender. Select from approved dropdown list.</t>
  </si>
  <si>
    <t>Mother Details</t>
  </si>
  <si>
    <t>Captures Mother’s DOB for statutory compliance, payroll processing, and audit trail under FAMILY / NOMINEE module.</t>
  </si>
  <si>
    <t>Enter Mother’s DOB. Optional; fill if applicable.</t>
  </si>
  <si>
    <t>Captures Mother Gender for statutory compliance, payroll processing, and audit trail under FAMILY / NOMINEE module.</t>
  </si>
  <si>
    <t>Enter Mother Gender. Select from approved dropdown list.</t>
  </si>
  <si>
    <t>Spouse Details</t>
  </si>
  <si>
    <t>Captures Spouse Gender for statutory compliance, payroll processing, and audit trail under FAMILY / NOMINEE module.</t>
  </si>
  <si>
    <t>Enter Spouse Gender. Select from approved dropdown list.</t>
  </si>
  <si>
    <t>Captures Spouse DOB for statutory compliance, payroll processing, and audit trail under FAMILY / NOMINEE module.</t>
  </si>
  <si>
    <t>Enter Spouse DOB. Optional; fill if applicable.</t>
  </si>
  <si>
    <t>Captures Emergency Contact Name for statutory compliance, payroll processing, and audit trail under FAMILY / NOMINEE module.</t>
  </si>
  <si>
    <t>Enter Emergency Contact Name. Enter exact value as per official document.</t>
  </si>
  <si>
    <t>Captures Emergency Contact Number for statutory compliance, payroll processing, and audit trail under FAMILY / NOMINEE module.</t>
  </si>
  <si>
    <t>10-digit numeric; starts with 6-9</t>
  </si>
  <si>
    <t>Enter Emergency Contact Number. Optional; fill if applicable.</t>
  </si>
  <si>
    <t>Captures Date of Birth (DD-MM-YYYY) for statutory compliance, payroll processing, and audit trail under FAMILY / NOMINEE module.</t>
  </si>
  <si>
    <t>Enter Date of Birth (DD-MM-YYYY). Use DD-MM-YYYY format; validate range.</t>
  </si>
  <si>
    <t>Employment Status</t>
  </si>
  <si>
    <t>Captures Marital Status for statutory compliance, payroll processing, and audit trail under FAMILY / NOMINEE module.</t>
  </si>
  <si>
    <t>Enter Marital Status. Select from approved dropdown list.</t>
  </si>
  <si>
    <t>Captures Religion for statutory compliance, payroll processing, and audit trail under FAMILY / NOMINEE module.</t>
  </si>
  <si>
    <t>Enter Religion. Optional; fill if applicable.</t>
  </si>
  <si>
    <t>Captures Nationality for statutory compliance, payroll processing, and audit trail under FAMILY / NOMINEE module.</t>
  </si>
  <si>
    <t>Enter Nationality. Optional; fill if applicable.</t>
  </si>
  <si>
    <t>Captures Blood Group for statutory compliance, payroll processing, and audit trail under FAMILY / NOMINEE module.</t>
  </si>
  <si>
    <t>Dropdown: A+ / A- / B+ / B- / O+ / O- / AB+ / AB-</t>
  </si>
  <si>
    <t>Enter Blood Group. Optional; fill if applicable.</t>
  </si>
  <si>
    <t>Captures Differently Abled (Yes/No) for statutory compliance, payroll processing, and audit trail under FAMILY / NOMINEE module.</t>
  </si>
  <si>
    <t>Enter Differently Abled (Yes/No). Select from approved dropdown list.</t>
  </si>
  <si>
    <t>Captures Disability Type (if any) for statutory compliance, payroll processing, and audit trail under FAMILY / NOMINEE module.</t>
  </si>
  <si>
    <t>Enter Disability Type (if any). Optional; fill if applicable.</t>
  </si>
  <si>
    <t>Captures Mobile Number for statutory compliance, payroll processing, and audit trail under FAMILY / NOMINEE module.</t>
  </si>
  <si>
    <t>Enter Mobile Number. Optional; fill if applicable.</t>
  </si>
  <si>
    <t>Captures Alternate Mobile Number for statutory compliance, payroll processing, and audit trail under FAMILY / NOMINEE module.</t>
  </si>
  <si>
    <t>Enter Alternate Mobile Number. Optional; fill if applicable.</t>
  </si>
  <si>
    <t>Captures Personal Email ID for statutory compliance, payroll processing, and audit trail under FAMILY / NOMINEE module.</t>
  </si>
  <si>
    <t>Standard email format; @domain.com</t>
  </si>
  <si>
    <t>Enter Personal Email ID. Optional; fill if applicable.</t>
  </si>
  <si>
    <t>Captures Official Email ID for statutory compliance, payroll processing, and audit trail under FAMILY / NOMINEE module.</t>
  </si>
  <si>
    <t>Enter Official Email ID. Optional; fill if applicable.</t>
  </si>
  <si>
    <t>Nominee / Beneficiary</t>
  </si>
  <si>
    <t>Captures Nominee DOB (PF) for statutory compliance, payroll processing, and audit trail under FAMILY / NOMINEE module.</t>
  </si>
  <si>
    <t>PF Register / ECR</t>
  </si>
  <si>
    <t>Enter Nominee DOB (PF). Enter exact value as per official document.</t>
  </si>
  <si>
    <t>Captures ID Proof Type for statutory compliance, payroll processing, and audit trail under FAMILY / NOMINEE module.</t>
  </si>
  <si>
    <t>Enter ID Proof Type. Optional; fill if applicable.</t>
  </si>
  <si>
    <t>Captures Address Proof Type for statutory compliance, payroll processing, and audit trail under FAMILY / NOMINEE module.</t>
  </si>
  <si>
    <t>Enter Address Proof Type. Optional; fill if applicable.</t>
  </si>
  <si>
    <t>Captures Employee Full Name for statutory compliance, payroll processing, and audit trail under FAMILY / NOMINEE module.</t>
  </si>
  <si>
    <t>Enter Employee Full Name. Enter exact value as per official document.</t>
  </si>
  <si>
    <t>Captures Middle Name for statutory compliance, payroll processing, and audit trail under FAMILY / NOMINEE module.</t>
  </si>
  <si>
    <t>Enter Middle Name. Enter exact value as per official document.</t>
  </si>
  <si>
    <t>Captures Last Name / Surname for statutory compliance, payroll processing, and audit trail under FAMILY / NOMINEE module.</t>
  </si>
  <si>
    <t>Enter Last Name / Surname. Enter exact value as per official document.</t>
  </si>
  <si>
    <t>Captures Date of Birth for statutory compliance, payroll processing, and audit trail under FAMILY / NOMINEE module.</t>
  </si>
  <si>
    <t>Enter Date of Birth. Use DD-MM-YYYY format; validate range.</t>
  </si>
  <si>
    <t>Captures Aadhaar Number for statutory compliance, payroll processing, and audit trail under FAMILY / NOMINEE module.</t>
  </si>
  <si>
    <t>Enter Aadhaar Number. Validate against Aadhaar database.</t>
  </si>
  <si>
    <t>Captures PAN Number for statutory compliance, payroll processing, and audit trail under FAMILY / NOMINEE module.</t>
  </si>
  <si>
    <t>Enter PAN Number. Must match PAN card exactly.</t>
  </si>
  <si>
    <t>Captures PwD Category for statutory compliance, payroll processing, and audit trail under FAMILY / NOMINEE module.</t>
  </si>
  <si>
    <t>Enter PwD Category. Optional; fill if applicable.</t>
  </si>
  <si>
    <t>Captures Nominee DOB for statutory compliance, payroll processing, and audit trail under FAMILY / NOMINEE module.</t>
  </si>
  <si>
    <t>Enter Nominee DOB. Optional; fill if applicable.</t>
  </si>
  <si>
    <t>Captures Child 1 Date of Birth (DD-MM-YYYY) for statutory compliance, payroll processing, and audit trail under FAMILY / NOMINEE module.</t>
  </si>
  <si>
    <t>Enter Child 1 Date of Birth (DD-MM-YYYY). Use DD-MM-YYYY format; validate range.</t>
  </si>
  <si>
    <t>Captures Child 1 Gender for statutory compliance, payroll processing, and audit trail under FAMILY / NOMINEE module.</t>
  </si>
  <si>
    <t>Enter Child 1 Gender. Select from approved dropdown list.</t>
  </si>
  <si>
    <t>Captures Child 2 Date of Birth (DD-MM-YYYY) for statutory compliance, payroll processing, and audit trail under FAMILY / NOMINEE module.</t>
  </si>
  <si>
    <t>Enter Child 2 Date of Birth (DD-MM-YYYY). Use DD-MM-YYYY format; validate range.</t>
  </si>
  <si>
    <t>Captures Child 2 Gender for statutory compliance, payroll processing, and audit trail under FAMILY / NOMINEE module.</t>
  </si>
  <si>
    <t>Enter Child 2 Gender. Select from approved dropdown list.</t>
  </si>
  <si>
    <t>Captures Child 3 Date of Birth (DD-MM-YYYY) for statutory compliance, payroll processing, and audit trail under FAMILY / NOMINEE module.</t>
  </si>
  <si>
    <t>Enter Child 3 Date of Birth (DD-MM-YYYY). Use DD-MM-YYYY format; validate range.</t>
  </si>
  <si>
    <t>Captures Child 3 Gender for statutory compliance, payroll processing, and audit trail under FAMILY / NOMINEE module.</t>
  </si>
  <si>
    <t>Enter Child 3 Gender. Select from approved dropdown list.</t>
  </si>
  <si>
    <t>Captures PwD % Disability for statutory compliance, payroll processing, and audit trail under FAMILY / NOMINEE module.</t>
  </si>
  <si>
    <t>Enter PwD % Disability. Optional; fill if applicable.</t>
  </si>
  <si>
    <t>Captures PwD Type of Disability for statutory compliance, payroll processing, and audit trail under FAMILY / NOMINEE module.</t>
  </si>
  <si>
    <t>Enter PwD Type of Disability. Optional; fill if applicable.</t>
  </si>
  <si>
    <t>Captures Father Alive (Yes/No) for statutory compliance, payroll processing, and audit trail under FAMILY / NOMINEE module.</t>
  </si>
  <si>
    <t>Enter Father Alive (Yes/No). Select from approved dropdown list.</t>
  </si>
  <si>
    <t>Captures Mother Alive (Yes/No) for statutory compliance, payroll processing, and audit trail under FAMILY / NOMINEE module.</t>
  </si>
  <si>
    <t>Enter Mother Alive (Yes/No). Select from approved dropdown list.</t>
  </si>
  <si>
    <t>Geography</t>
  </si>
  <si>
    <t>Captures ISMW State of Origin for statutory compliance, payroll processing, and audit trail under FAMILY / NOMINEE module.</t>
  </si>
  <si>
    <t>Dropdown: All 28 States + 8 UTs</t>
  </si>
  <si>
    <t>Enter ISMW State of Origin. Optional; fill if applicable.</t>
  </si>
  <si>
    <t>Captures ISMW District of Origin for statutory compliance, payroll processing, and audit trail under FAMILY / NOMINEE module.</t>
  </si>
  <si>
    <t>Enter ISMW District of Origin. Optional; fill if applicable.</t>
  </si>
  <si>
    <t>Captures Mother Name for statutory compliance, payroll processing, and audit trail under FAMILY / NOMINEE module.</t>
  </si>
  <si>
    <t>Enter Mother Name. Enter exact value as per official document.</t>
  </si>
  <si>
    <t>Captures Father Contact Details for statutory compliance, payroll processing, and audit trail under FAMILY / NOMINEE module.</t>
  </si>
  <si>
    <t>Enter Father Contact Details. Optional; fill if applicable.</t>
  </si>
  <si>
    <t>Captures Mother Contact Details for statutory compliance, payroll processing, and audit trail under FAMILY / NOMINEE module.</t>
  </si>
  <si>
    <t>Enter Mother Contact Details. Optional; fill if applicable.</t>
  </si>
  <si>
    <t>Captures Spouse Name for statutory compliance, payroll processing, and audit trail under FAMILY / NOMINEE module.</t>
  </si>
  <si>
    <t>Enter Spouse Name. Enter exact value as per official document.</t>
  </si>
  <si>
    <t>Captures Spouse Higher Education for statutory compliance, payroll processing, and audit trail under FAMILY / NOMINEE module.</t>
  </si>
  <si>
    <t>Enter Spouse Higher Education. Optional; fill if applicable.</t>
  </si>
  <si>
    <t>Captures Spouse Aadhaar for statutory compliance, payroll processing, and audit trail under FAMILY / NOMINEE module.</t>
  </si>
  <si>
    <t>Enter Spouse Aadhaar. Validate against Aadhaar database.</t>
  </si>
  <si>
    <t>Captures Spouse PAN for statutory compliance, payroll processing, and audit trail under FAMILY / NOMINEE module.</t>
  </si>
  <si>
    <t>Enter Spouse PAN. Enter exact value as per official document.</t>
  </si>
  <si>
    <t>Captures Spouse Passport for statutory compliance, payroll processing, and audit trail under FAMILY / NOMINEE module.</t>
  </si>
  <si>
    <t>Enter Spouse Passport. Optional; fill if applicable.</t>
  </si>
  <si>
    <t>Captures Spouse Contact Details for statutory compliance, payroll processing, and audit trail under FAMILY / NOMINEE module.</t>
  </si>
  <si>
    <t>Enter Spouse Contact Details. Optional; fill if applicable.</t>
  </si>
  <si>
    <t>Captures Spouse E-mail ID for statutory compliance, payroll processing, and audit trail under FAMILY / NOMINEE module.</t>
  </si>
  <si>
    <t>Enter Spouse E-mail ID. Optional; fill if applicable.</t>
  </si>
  <si>
    <t>Captures Nominee Name (PF) for statutory compliance, payroll processing, and audit trail under FAMILY / NOMINEE module.</t>
  </si>
  <si>
    <t>Enter Nominee Name (PF). Enter exact value as per official document.</t>
  </si>
  <si>
    <t>Captures Nominee Relationship (PF) for statutory compliance, payroll processing, and audit trail under FAMILY / NOMINEE module.</t>
  </si>
  <si>
    <t>Enter Nominee Relationship (PF). Enter exact value as per official document.</t>
  </si>
  <si>
    <t>Captures Nominee Share % (PF) for statutory compliance, payroll processing, and audit trail under FAMILY / NOMINEE module.</t>
  </si>
  <si>
    <t>Enter Nominee Share % (PF). Enter exact value as per official document.</t>
  </si>
  <si>
    <t>Captures Gratuity Nominee Name for statutory compliance, payroll processing, and audit trail under FAMILY / NOMINEE module.</t>
  </si>
  <si>
    <t>Enter Gratuity Nominee Name. Enter exact value as per official document.</t>
  </si>
  <si>
    <t>Captures Gratuity Nominee Relationship for statutory compliance, payroll processing, and audit trail under FAMILY / NOMINEE module.</t>
  </si>
  <si>
    <t>Enter Gratuity Nominee Relationship. Optional; fill if applicable.</t>
  </si>
  <si>
    <t>Captures Number of Children for statutory compliance, payroll processing, and audit trail under FAMILY / NOMINEE module.</t>
  </si>
  <si>
    <t>Enter Number of Children. Optional; fill if applicable.</t>
  </si>
  <si>
    <t>Captures Nominee Name for statutory compliance, payroll processing, and audit trail under FAMILY / NOMINEE module.</t>
  </si>
  <si>
    <t>Enter Nominee Name. Enter exact value as per official document.</t>
  </si>
  <si>
    <t>Captures Nominee Relation for statutory compliance, payroll processing, and audit trail under FAMILY / NOMINEE module.</t>
  </si>
  <si>
    <t>Enter Nominee Relation. Optional; fill if applicable.</t>
  </si>
  <si>
    <t>Captures Family Member Count for statutory compliance, payroll processing, and audit trail under FAMILY / NOMINEE module.</t>
  </si>
  <si>
    <t>Enter Family Member Count. Optional; fill if applicable.</t>
  </si>
  <si>
    <t>Captures Children Details for statutory compliance, payroll processing, and audit trail under FAMILY / NOMINEE module.</t>
  </si>
  <si>
    <t>Enter Children Details. Optional; fill if applicable.</t>
  </si>
  <si>
    <t>Captures Child 1 Name for statutory compliance, payroll processing, and audit trail under FAMILY / NOMINEE module.</t>
  </si>
  <si>
    <t>Enter Child 1 Name. Enter exact value as per official document.</t>
  </si>
  <si>
    <t>Captures Child 2 Name for statutory compliance, payroll processing, and audit trail under FAMILY / NOMINEE module.</t>
  </si>
  <si>
    <t>Enter Child 2 Name. Enter exact value as per official document.</t>
  </si>
  <si>
    <t>Captures Child 3 Name for statutory compliance, payroll processing, and audit trail under FAMILY / NOMINEE module.</t>
  </si>
  <si>
    <t>Enter Child 3 Name. Enter exact value as per official document.</t>
  </si>
  <si>
    <t>Captures 1 for statutory compliance, payroll processing, and audit trail under LEAVE &amp; ATTENDANCE module.</t>
  </si>
  <si>
    <t>Time &amp; Attendance System</t>
  </si>
  <si>
    <t>Muster Roll (Form XVI)</t>
  </si>
  <si>
    <t>Enter 1. Optional; fill if applicable.</t>
  </si>
  <si>
    <t>Captures 2 for statutory compliance, payroll processing, and audit trail under LEAVE &amp; ATTENDANCE module.</t>
  </si>
  <si>
    <t>Enter 2. Optional; fill if applicable.</t>
  </si>
  <si>
    <t>Captures 3 for statutory compliance, payroll processing, and audit trail under LEAVE &amp; ATTENDANCE module.</t>
  </si>
  <si>
    <t>Enter 3. Optional; fill if applicable.</t>
  </si>
  <si>
    <t>Captures 4 for statutory compliance, payroll processing, and audit trail under LEAVE &amp; ATTENDANCE module.</t>
  </si>
  <si>
    <t>Enter 4. Optional; fill if applicable.</t>
  </si>
  <si>
    <t>Captures 5 for statutory compliance, payroll processing, and audit trail under LEAVE &amp; ATTENDANCE module.</t>
  </si>
  <si>
    <t>Enter 5. Optional; fill if applicable.</t>
  </si>
  <si>
    <t>Captures 6 for statutory compliance, payroll processing, and audit trail under LEAVE &amp; ATTENDANCE module.</t>
  </si>
  <si>
    <t>Enter 6. Optional; fill if applicable.</t>
  </si>
  <si>
    <t>Captures 7 for statutory compliance, payroll processing, and audit trail under LEAVE &amp; ATTENDANCE module.</t>
  </si>
  <si>
    <t>Enter 7. Optional; fill if applicable.</t>
  </si>
  <si>
    <t>Captures 8 for statutory compliance, payroll processing, and audit trail under LEAVE &amp; ATTENDANCE module.</t>
  </si>
  <si>
    <t>Enter 8. Optional; fill if applicable.</t>
  </si>
  <si>
    <t>Captures 9 for statutory compliance, payroll processing, and audit trail under LEAVE &amp; ATTENDANCE module.</t>
  </si>
  <si>
    <t>Enter 9. Optional; fill if applicable.</t>
  </si>
  <si>
    <t>Captures 10 for statutory compliance, payroll processing, and audit trail under LEAVE &amp; ATTENDANCE module.</t>
  </si>
  <si>
    <t>Enter 10. Optional; fill if applicable.</t>
  </si>
  <si>
    <t>Captures 11 for statutory compliance, payroll processing, and audit trail under LEAVE &amp; ATTENDANCE module.</t>
  </si>
  <si>
    <t>Enter 11. Optional; fill if applicable.</t>
  </si>
  <si>
    <t>Captures 12 for statutory compliance, payroll processing, and audit trail under LEAVE &amp; ATTENDANCE module.</t>
  </si>
  <si>
    <t>Enter 12. Optional; fill if applicable.</t>
  </si>
  <si>
    <t>Captures 13 for statutory compliance, payroll processing, and audit trail under LEAVE &amp; ATTENDANCE module.</t>
  </si>
  <si>
    <t>Enter 13. Optional; fill if applicable.</t>
  </si>
  <si>
    <t>Captures 14 for statutory compliance, payroll processing, and audit trail under LEAVE &amp; ATTENDANCE module.</t>
  </si>
  <si>
    <t>Enter 14. Optional; fill if applicable.</t>
  </si>
  <si>
    <t>Captures 15 for statutory compliance, payroll processing, and audit trail under LEAVE &amp; ATTENDANCE module.</t>
  </si>
  <si>
    <t>Enter 15. Optional; fill if applicable.</t>
  </si>
  <si>
    <t>Captures 16 for statutory compliance, payroll processing, and audit trail under LEAVE &amp; ATTENDANCE module.</t>
  </si>
  <si>
    <t>Enter 16. Optional; fill if applicable.</t>
  </si>
  <si>
    <t>Captures 17 for statutory compliance, payroll processing, and audit trail under LEAVE &amp; ATTENDANCE module.</t>
  </si>
  <si>
    <t>Enter 17. Optional; fill if applicable.</t>
  </si>
  <si>
    <t>Captures 18 for statutory compliance, payroll processing, and audit trail under LEAVE &amp; ATTENDANCE module.</t>
  </si>
  <si>
    <t>Enter 18. Optional; fill if applicable.</t>
  </si>
  <si>
    <t>Captures 19 for statutory compliance, payroll processing, and audit trail under LEAVE &amp; ATTENDANCE module.</t>
  </si>
  <si>
    <t>Enter 19. Optional; fill if applicable.</t>
  </si>
  <si>
    <t>Captures 20 for statutory compliance, payroll processing, and audit trail under LEAVE &amp; ATTENDANCE module.</t>
  </si>
  <si>
    <t>Enter 20. Optional; fill if applicable.</t>
  </si>
  <si>
    <t>Captures 21 for statutory compliance, payroll processing, and audit trail under LEAVE &amp; ATTENDANCE module.</t>
  </si>
  <si>
    <t>Enter 21. Optional; fill if applicable.</t>
  </si>
  <si>
    <t>Captures 22 for statutory compliance, payroll processing, and audit trail under LEAVE &amp; ATTENDANCE module.</t>
  </si>
  <si>
    <t>Enter 22. Optional; fill if applicable.</t>
  </si>
  <si>
    <t>Captures 23 for statutory compliance, payroll processing, and audit trail under LEAVE &amp; ATTENDANCE module.</t>
  </si>
  <si>
    <t>Enter 23. Optional; fill if applicable.</t>
  </si>
  <si>
    <t>Captures 24 for statutory compliance, payroll processing, and audit trail under LEAVE &amp; ATTENDANCE module.</t>
  </si>
  <si>
    <t>Enter 24. Optional; fill if applicable.</t>
  </si>
  <si>
    <t>Captures 25 for statutory compliance, payroll processing, and audit trail under LEAVE &amp; ATTENDANCE module.</t>
  </si>
  <si>
    <t>Enter 25. Optional; fill if applicable.</t>
  </si>
  <si>
    <t>Captures 26 for statutory compliance, payroll processing, and audit trail under LEAVE &amp; ATTENDANCE module.</t>
  </si>
  <si>
    <t>Enter 26. Optional; fill if applicable.</t>
  </si>
  <si>
    <t>Captures 27 for statutory compliance, payroll processing, and audit trail under LEAVE &amp; ATTENDANCE module.</t>
  </si>
  <si>
    <t>Enter 27. Optional; fill if applicable.</t>
  </si>
  <si>
    <t>Captures 28 for statutory compliance, payroll processing, and audit trail under LEAVE &amp; ATTENDANCE module.</t>
  </si>
  <si>
    <t>Enter 28. Optional; fill if applicable.</t>
  </si>
  <si>
    <t>Captures 29 for statutory compliance, payroll processing, and audit trail under LEAVE &amp; ATTENDANCE module.</t>
  </si>
  <si>
    <t>Enter 29. Optional; fill if applicable.</t>
  </si>
  <si>
    <t>Captures 30 for statutory compliance, payroll processing, and audit trail under LEAVE &amp; ATTENDANCE module.</t>
  </si>
  <si>
    <t>Enter 30. Optional; fill if applicable.</t>
  </si>
  <si>
    <t>Captures 31 for statutory compliance, payroll processing, and audit trail under LEAVE &amp; ATTENDANCE module.</t>
  </si>
  <si>
    <t>Enter 31. Optional; fill if applicable.</t>
  </si>
  <si>
    <t>Captures For the month of for statutory compliance, payroll processing, and audit trail under LEAVE &amp; ATTENDANCE module.</t>
  </si>
  <si>
    <t>Enter For the month of. Optional; fill if applicable.</t>
  </si>
  <si>
    <t>Attendance Tracking</t>
  </si>
  <si>
    <t>Captures FORM XVI 1[See rule 78(1) (a) (i)] Muster Roll Remarks for statutory compliance, payroll processing, and audit trail under LEAVE &amp; ATTENDANCE module.</t>
  </si>
  <si>
    <t>Enter FORM XVI 1[See rule 78(1) (a) (i)] Muster Roll Remarks. Optional; fill if applicable.</t>
  </si>
  <si>
    <t>CLRA Form Reference</t>
  </si>
  <si>
    <t>Captures FORM XVII [See rule 78(1) (a) (i)] Register of Wages Total for statutory compliance, payroll processing, and audit trail under LEAVE &amp; ATTENDANCE module.</t>
  </si>
  <si>
    <t>Enter FORM XVII [See rule 78(1) (a) (i)] Register of Wages Total. Optional; fill if applicable.</t>
  </si>
  <si>
    <t>Leave Management</t>
  </si>
  <si>
    <t>Captures Earned Leave (EL) Opening Balance for statutory compliance, payroll processing, and audit trail under LEAVE &amp; ATTENDANCE module.</t>
  </si>
  <si>
    <t>Leave Register (Form XV FA)</t>
  </si>
  <si>
    <t>Enter Earned Leave (EL) Opening Balance. Optional; fill if applicable.</t>
  </si>
  <si>
    <t>Captures Casual Leave (CL) Entitlement for statutory compliance, payroll processing, and audit trail under LEAVE &amp; ATTENDANCE module.</t>
  </si>
  <si>
    <t>Enter Casual Leave (CL) Entitlement. Optional; fill if applicable.</t>
  </si>
  <si>
    <t>Captures Sick Leave (SL) Entitlement for statutory compliance, payroll processing, and audit trail under LEAVE &amp; ATTENDANCE module.</t>
  </si>
  <si>
    <t>Enter Sick Leave (SL) Entitlement. Optional; fill if applicable.</t>
  </si>
  <si>
    <t>Captures Maternity Leave (if applicable) for statutory compliance, payroll processing, and audit trail under LEAVE &amp; ATTENDANCE module.</t>
  </si>
  <si>
    <t>Maternity Benefit Act 1961</t>
  </si>
  <si>
    <t>Enter Maternity Leave (if applicable). Select from approved dropdown list.</t>
  </si>
  <si>
    <t>Captures Annual Leave Balance for statutory compliance, payroll processing, and audit trail under LEAVE &amp; ATTENDANCE module.</t>
  </si>
  <si>
    <t>Enter Annual Leave Balance. Optional; fill if applicable.</t>
  </si>
  <si>
    <t>Overtime</t>
  </si>
  <si>
    <t>Captures OT Hours Week 1 for statutory compliance, payroll processing, and audit trail under LEAVE &amp; ATTENDANCE module.</t>
  </si>
  <si>
    <t>OT Register (Form XXIII)</t>
  </si>
  <si>
    <t>Drives payable days → wage calculation</t>
  </si>
  <si>
    <t>Enter OT Hours Week 1. Optional; fill if applicable.</t>
  </si>
  <si>
    <t>Captures OT Hours Week 2 for statutory compliance, payroll processing, and audit trail under LEAVE &amp; ATTENDANCE module.</t>
  </si>
  <si>
    <t>Enter OT Hours Week 2. Optional; fill if applicable.</t>
  </si>
  <si>
    <t>Captures OT Hours Week 3 for statutory compliance, payroll processing, and audit trail under LEAVE &amp; ATTENDANCE module.</t>
  </si>
  <si>
    <t>Enter OT Hours Week 3. Optional; fill if applicable.</t>
  </si>
  <si>
    <t>Captures OT Hours Week 4 for statutory compliance, payroll processing, and audit trail under LEAVE &amp; ATTENDANCE module.</t>
  </si>
  <si>
    <t>Enter OT Hours Week 4. Optional; fill if applicable.</t>
  </si>
  <si>
    <t>Captures OT Rate (₹/Hr) [2× Ordinary] for statutory compliance, payroll processing, and audit trail under LEAVE &amp; ATTENDANCE module.</t>
  </si>
  <si>
    <t>Enter OT Rate (₹/Hr) [2× Ordinary]. Optional; fill if applicable.</t>
  </si>
  <si>
    <t>Captures Leave Remarks Form 15 FA for statutory compliance, payroll processing, and audit trail under LEAVE &amp; ATTENDANCE module.</t>
  </si>
  <si>
    <t>Enter Leave Remarks Form 15 FA. Optional; fill if applicable.</t>
  </si>
  <si>
    <t>Captures Normal Working Hours for statutory compliance, payroll processing, and audit trail under LEAVE &amp; ATTENDANCE module.</t>
  </si>
  <si>
    <t>Enter Normal Working Hours. Optional; fill if applicable.</t>
  </si>
  <si>
    <t>Captures Total Hours worked for statutory compliance, payroll processing, and audit trail under LEAVE &amp; ATTENDANCE module.</t>
  </si>
  <si>
    <t>Enter Total Hours worked. Optional; fill if applicable.</t>
  </si>
  <si>
    <t>Captures Earned Leave (EL) Availed/ Balance left for statutory compliance, payroll processing, and audit trail under LEAVE &amp; ATTENDANCE module.</t>
  </si>
  <si>
    <t>Enter Earned Leave (EL) Availed/ Balance left. Optional; fill if applicable.</t>
  </si>
  <si>
    <t>Captures Casual Leave (CL) Entitlement Availed/ Balance left for statutory compliance, payroll processing, and audit trail under LEAVE &amp; ATTENDANCE module.</t>
  </si>
  <si>
    <t>Enter Casual Leave (CL) Entitlement Availed/ Balance left. Optional; fill if applicable.</t>
  </si>
  <si>
    <t>Captures Sick Leave (SL) Entitlement Availed/ Balance left for statutory compliance, payroll processing, and audit trail under LEAVE &amp; ATTENDANCE module.</t>
  </si>
  <si>
    <t>Enter Sick Leave (SL) Entitlement Availed/ Balance left. Optional; fill if applicable.</t>
  </si>
  <si>
    <t>Captures Maximum No. of contract labour to be employed on any day for statutory compliance, payroll processing, and audit trail under PAYROLL &amp; FINANCIAL module.</t>
  </si>
  <si>
    <t>Payroll Team / Finance</t>
  </si>
  <si>
    <t>Enter Maximum No. of contract labour to be employed on any day. Optional; fill if applicable.</t>
  </si>
  <si>
    <t>Captures No. and date of demand draft of the balance security deposit if any, required on the fresh contract] for statutory compliance, payroll processing, and audit trail under PAYROLL &amp; FINANCIAL module.</t>
  </si>
  <si>
    <t>Enter No. and date of demand draft of the balance security deposit if any, required on the fresh contract]. Use DD-MM-YYYY format; validate range.</t>
  </si>
  <si>
    <t>Exit Details</t>
  </si>
  <si>
    <t>Captures Date of termination of employment for statutory compliance, payroll processing, and audit trail under PAYROLL &amp; FINANCIAL module.</t>
  </si>
  <si>
    <t>Enter Date of termination of employment. Use DD-MM-YYYY format; validate range.</t>
  </si>
  <si>
    <t>Captures Wage rate with particulars or unit in case of piecework for statutory compliance, payroll processing, and audit trail under PAYROLL &amp; FINANCIAL module.</t>
  </si>
  <si>
    <t>Enter Wage rate with particulars or unit in case of piecework. Optional; fill if applicable.</t>
  </si>
  <si>
    <t>Captures Rate of wage (with Particulars of unit in case of piece work) for statutory compliance, payroll processing, and audit trail under PAYROLL &amp; FINANCIAL module.</t>
  </si>
  <si>
    <t>Enter Rate of wage (with Particulars of unit in case of piece work). Optional; fill if applicable.</t>
  </si>
  <si>
    <t>Captures Total days Present for statutory compliance, payroll processing, and audit trail under PAYROLL &amp; FINANCIAL module.</t>
  </si>
  <si>
    <t>Enter Total days Present. Optional; fill if applicable.</t>
  </si>
  <si>
    <t>Working Days</t>
  </si>
  <si>
    <t>Captures Total days Absent for statutory compliance, payroll processing, and audit trail under PAYROLL &amp; FINANCIAL module.</t>
  </si>
  <si>
    <t>Enter Total days Absent. Optional; fill if applicable.</t>
  </si>
  <si>
    <t>Captures Total number of Week Offs /Holidays for statutory compliance, payroll processing, and audit trail under PAYROLL &amp; FINANCIAL module.</t>
  </si>
  <si>
    <t>Enter Total number of Week Offs /Holidays. Optional; fill if applicable.</t>
  </si>
  <si>
    <t>Captures Overtime Days for statutory compliance, payroll processing, and audit trail under PAYROLL &amp; FINANCIAL module.</t>
  </si>
  <si>
    <t>Enter Overtime Days. Optional; fill if applicable.</t>
  </si>
  <si>
    <t>Captures No.of days worked for statutory compliance, payroll processing, and audit trail under PAYROLL &amp; FINANCIAL module.</t>
  </si>
  <si>
    <t>Enter No.of days worked. Optional; fill if applicable.</t>
  </si>
  <si>
    <t>Captures Daily rate of wages/ piece rate for statutory compliance, payroll processing, and audit trail under PAYROLL &amp; FINANCIAL module.</t>
  </si>
  <si>
    <t>Enter Daily rate of wages/ piece rate. Optional; fill if applicable.</t>
  </si>
  <si>
    <t>Captures Basic wages for statutory compliance, payroll processing, and audit trail under PAYROLL &amp; FINANCIAL module.</t>
  </si>
  <si>
    <t>Enter Basic wages. Enter exact value as per official document.</t>
  </si>
  <si>
    <t>Dearness Allowance</t>
  </si>
  <si>
    <t>Captures Dearness allowa- nces for statutory compliance, payroll processing, and audit trail under PAYROLL &amp; FINANCIAL module.</t>
  </si>
  <si>
    <t>Enter Dearness allowa- nces. Optional; fill if applicable.</t>
  </si>
  <si>
    <t>Captures Overtime Amount for statutory compliance, payroll processing, and audit trail under PAYROLL &amp; FINANCIAL module.</t>
  </si>
  <si>
    <t>Yes - formula driver</t>
  </si>
  <si>
    <t>'=othours*(basicwage/26/8)*2</t>
  </si>
  <si>
    <t>Auto-Generated</t>
  </si>
  <si>
    <t>Enter Overtime Amount. Optional; fill if applicable.</t>
  </si>
  <si>
    <t>Drives multiple payroll calculations</t>
  </si>
  <si>
    <t>Captures Net payments/ Amount paid for statutory compliance, payroll processing, and audit trail under PAYROLL &amp; FINANCIAL module.</t>
  </si>
  <si>
    <t>Enter Net payments/ Amount paid. Optional; fill if applicable.</t>
  </si>
  <si>
    <t>Captures Particulars of damage or loss for statutory compliance, payroll processing, and audit trail under PAYROLL &amp; FINANCIAL module.</t>
  </si>
  <si>
    <t>Enter Particulars of damage or loss. Optional; fill if applicable.</t>
  </si>
  <si>
    <t>Captures Date of damage or loss for statutory compliance, payroll processing, and audit trail under PAYROLL &amp; FINANCIAL module.</t>
  </si>
  <si>
    <t>Enter Date of damage or loss. Use DD-MM-YYYY format; validate range.</t>
  </si>
  <si>
    <t>Captures Date of recovery 1st Installments for statutory compliance, payroll processing, and audit trail under PAYROLL &amp; FINANCIAL module.</t>
  </si>
  <si>
    <t>Enter Date of recovery 1st Installments. Use DD-MM-YYYY format; validate range.</t>
  </si>
  <si>
    <t>Captures Date of recovery last Installments for statutory compliance, payroll processing, and audit trail under PAYROLL &amp; FINANCIAL module.</t>
  </si>
  <si>
    <t>Enter Date of recovery last Installments. Use DD-MM-YYYY format; validate range.</t>
  </si>
  <si>
    <t>Deductions</t>
  </si>
  <si>
    <t>Captures FORM XX 1[See rule 78(1)(a)(i)] Register of Deductions for Damage or Loss Remarks for statutory compliance, payroll processing, and audit trail under PAYROLL &amp; FINANCIAL module.</t>
  </si>
  <si>
    <t>Enter FORM XX 1[See rule 78(1)(a)(i)] Register of Deductions for Damage or Loss Remarks. Optional; fill if applicable.</t>
  </si>
  <si>
    <t>Captures Wage periods and wage payable for statutory compliance, payroll processing, and audit trail under PAYROLL &amp; FINANCIAL module.</t>
  </si>
  <si>
    <t>Enter Wage periods and wage payable. Optional; fill if applicable.</t>
  </si>
  <si>
    <t>Fine Register</t>
  </si>
  <si>
    <t>Captures Amount of fine imposed for statutory compliance, payroll processing, and audit trail under PAYROLL &amp; FINANCIAL module.</t>
  </si>
  <si>
    <t>Register of Fines (Form XXI)</t>
  </si>
  <si>
    <t>Enter Amount of fine imposed. Optional; fill if applicable.</t>
  </si>
  <si>
    <t>Captures Date on which fine realized for statutory compliance, payroll processing, and audit trail under PAYROLL &amp; FINANCIAL module.</t>
  </si>
  <si>
    <t>Enter Date on which fine realized. Use DD-MM-YYYY format; validate range.</t>
  </si>
  <si>
    <t>Captures 1[FORM XXI [See rule 78 (1)(a)(ii)] Register of fines Remarks for statutory compliance, payroll processing, and audit trail under PAYROLL &amp; FINANCIAL module.</t>
  </si>
  <si>
    <t>Enter 1[FORM XXI [See rule 78 (1)(a)(ii)] Register of fines Remarks. Optional; fill if applicable.</t>
  </si>
  <si>
    <t>Advance Recovery</t>
  </si>
  <si>
    <t>Captures Date and amount of advance given for statutory compliance, payroll processing, and audit trail under PAYROLL &amp; FINANCIAL module.</t>
  </si>
  <si>
    <t>Enter Date and amount of advance given. Use DD-MM-YYYY format; validate range.</t>
  </si>
  <si>
    <t>Captures No of installments by which advance to be repair for statutory compliance, payroll processing, and audit trail under PAYROLL &amp; FINANCIAL module.</t>
  </si>
  <si>
    <t>Register of Advances (Form XXII)</t>
  </si>
  <si>
    <t>Enter No of installments by which advance to be repair. Optional; fill if applicable.</t>
  </si>
  <si>
    <t>Captures Date and amount of each instruments repair for statutory compliance, payroll processing, and audit trail under PAYROLL &amp; FINANCIAL module.</t>
  </si>
  <si>
    <t>Enter Date and amount of each instruments repair. Use DD-MM-YYYY format; validate range.</t>
  </si>
  <si>
    <t>Captures Date on which last installment was repair for statutory compliance, payroll processing, and audit trail under PAYROLL &amp; FINANCIAL module.</t>
  </si>
  <si>
    <t>Enter Date on which last installment was repair. Use DD-MM-YYYY format; validate range.</t>
  </si>
  <si>
    <t>Captures FORM XXII 1[See rule 78 (1) (a)(ii)] Register of Advances Remarks for statutory compliance, payroll processing, and audit trail under PAYROLL &amp; FINANCIAL module.</t>
  </si>
  <si>
    <t>Enter FORM XXII 1[See rule 78 (1) (a)(ii)] Register of Advances Remarks. Optional; fill if applicable.</t>
  </si>
  <si>
    <t>Captures Date on which overtime worked for statutory compliance, payroll processing, and audit trail under PAYROLL &amp; FINANCIAL module.</t>
  </si>
  <si>
    <t>Enter Date on which overtime worked. Use DD-MM-YYYY format; validate range.</t>
  </si>
  <si>
    <t>Captures Total overtime worked per hour for statutory compliance, payroll processing, and audit trail under PAYROLL &amp; FINANCIAL module.</t>
  </si>
  <si>
    <t>Enter Total overtime worked per hour. Optional; fill if applicable.</t>
  </si>
  <si>
    <t>Captures Normal rate of wages for statutory compliance, payroll processing, and audit trail under PAYROLL &amp; FINANCIAL module.</t>
  </si>
  <si>
    <t>Enter Normal rate of wages. Optional; fill if applicable.</t>
  </si>
  <si>
    <t>Captures Overtime rate of  wages per hour for statutory compliance, payroll processing, and audit trail under PAYROLL &amp; FINANCIAL module.</t>
  </si>
  <si>
    <t>Enter Overtime rate of  wages per hour. Optional; fill if applicable.</t>
  </si>
  <si>
    <t>Captures Total Overtime earning for statutory compliance, payroll processing, and audit trail under PAYROLL &amp; FINANCIAL module.</t>
  </si>
  <si>
    <t>Enter Total Overtime earning. Optional; fill if applicable.</t>
  </si>
  <si>
    <t>Captures Date on which overtime wages paid for statutory compliance, payroll processing, and audit trail under PAYROLL &amp; FINANCIAL module.</t>
  </si>
  <si>
    <t>Enter Date on which overtime wages paid. Use DD-MM-YYYY format; validate range.</t>
  </si>
  <si>
    <t>Captures D.A for statutory compliance, payroll processing, and audit trail under PAYROLL &amp; FINANCIAL module.</t>
  </si>
  <si>
    <t>Enter D.A. Optional; fill if applicable.</t>
  </si>
  <si>
    <t>Captures HRA for statutory compliance, payroll processing, and audit trail under PAYROLL &amp; FINANCIAL module.</t>
  </si>
  <si>
    <t>Enter HRA. Optional; fill if applicable.</t>
  </si>
  <si>
    <t>Captures Medical Allowance for statutory compliance, payroll processing, and audit trail under PAYROLL &amp; FINANCIAL module.</t>
  </si>
  <si>
    <t>Enter Medical Allowance. Optional; fill if applicable.</t>
  </si>
  <si>
    <t>Captures Leave Encashment for statutory compliance, payroll processing, and audit trail under PAYROLL &amp; FINANCIAL module.</t>
  </si>
  <si>
    <t>Enter Leave Encashment. Optional; fill if applicable.</t>
  </si>
  <si>
    <t>Captures Conveyance for statutory compliance, payroll processing, and audit trail under PAYROLL &amp; FINANCIAL module.</t>
  </si>
  <si>
    <t>Enter Conveyance. Optional; fill if applicable.</t>
  </si>
  <si>
    <t>Bonus &amp; Incentive</t>
  </si>
  <si>
    <t>Captures Statutory Bonus for statutory compliance, payroll processing, and audit trail under PAYROLL &amp; FINANCIAL module.</t>
  </si>
  <si>
    <t>Bonus Register</t>
  </si>
  <si>
    <t>Payment of Bonus Act 1965</t>
  </si>
  <si>
    <t>Enter Statutory Bonus. Optional; fill if applicable.</t>
  </si>
  <si>
    <t>Captures Other Allowance for statutory compliance, payroll processing, and audit trail under PAYROLL &amp; FINANCIAL module.</t>
  </si>
  <si>
    <t>Enter Other Allowance. Optional; fill if applicable.</t>
  </si>
  <si>
    <t>Captures Additional Salary Component, If any for statutory compliance, payroll processing, and audit trail under PAYROLL &amp; FINANCIAL module.</t>
  </si>
  <si>
    <t>Enter Additional Salary Component, If any. Optional; fill if applicable.</t>
  </si>
  <si>
    <t>PF Components</t>
  </si>
  <si>
    <t>Captures Employer PF for statutory compliance, payroll processing, and audit trail under PAYROLL &amp; FINANCIAL module.</t>
  </si>
  <si>
    <t>'=IF(basicwage&gt;15000,1800,basicwage*12%)</t>
  </si>
  <si>
    <t>Enter Employer PF. Enter exact value as per official document.</t>
  </si>
  <si>
    <t>Captures Employee PF for statutory compliance, payroll processing, and audit trail under PAYROLL &amp; FINANCIAL module.</t>
  </si>
  <si>
    <t>Enter Employee PF. Enter exact value as per official document.</t>
  </si>
  <si>
    <t>Captures Employer EPS for statutory compliance, payroll processing, and audit trail under PAYROLL &amp; FINANCIAL module.</t>
  </si>
  <si>
    <t>Enter Employer EPS. Optional; fill if applicable.</t>
  </si>
  <si>
    <t>Captures Employer EDLI for statutory compliance, payroll processing, and audit trail under PAYROLL &amp; FINANCIAL module.</t>
  </si>
  <si>
    <t>Enter Employer EDLI. Optional; fill if applicable.</t>
  </si>
  <si>
    <t>Captures Employer PF admin charges for statutory compliance, payroll processing, and audit trail under PAYROLL &amp; FINANCIAL module.</t>
  </si>
  <si>
    <t>Enter Employer PF admin charges. Enter exact value as per official document.</t>
  </si>
  <si>
    <t>Captures ESIC Employer for statutory compliance, payroll processing, and audit trail under PAYROLL &amp; FINANCIAL module.</t>
  </si>
  <si>
    <t>'=IF(grosssalary&gt;21000,0,grosssalary*3.25%)</t>
  </si>
  <si>
    <t>Enter ESIC Employer. Must match ESIC portal records.</t>
  </si>
  <si>
    <t>Captures ESIC Employee for statutory compliance, payroll processing, and audit trail under PAYROLL &amp; FINANCIAL module.</t>
  </si>
  <si>
    <t>'=IF(grosssalary&gt;21000,0,grosssalary*0.75%)</t>
  </si>
  <si>
    <t>Enter ESIC Employee. Must match ESIC portal records.</t>
  </si>
  <si>
    <t>Bank &amp; Payment</t>
  </si>
  <si>
    <t>Captures Bank Name for statutory compliance, payroll processing, and audit trail under PAYROLL &amp; FINANCIAL module.</t>
  </si>
  <si>
    <t>Dropdown: All scheduled banks in India</t>
  </si>
  <si>
    <t>Enter Bank Name. Enter exact value as per official document.</t>
  </si>
  <si>
    <t>Captures Date of Remittance (Salary transfer date) for statutory compliance, payroll processing, and audit trail under PAYROLL &amp; FINANCIAL module.</t>
  </si>
  <si>
    <t>Enter Date of Remittance (Salary transfer date). Use DD-MM-YYYY format; validate range.</t>
  </si>
  <si>
    <t>Captures Total days worked for statutory compliance, payroll processing, and audit trail under PAYROLL &amp; FINANCIAL module.</t>
  </si>
  <si>
    <t>Enter Total days worked. Optional; fill if applicable.</t>
  </si>
  <si>
    <t>Labour Welfare Fund</t>
  </si>
  <si>
    <t>Captures Employer LWF for statutory compliance, payroll processing, and audit trail under PAYROLL &amp; FINANCIAL module.</t>
  </si>
  <si>
    <t>LWF Act (State-wise)</t>
  </si>
  <si>
    <t>Enter Employer LWF. Optional; fill if applicable.</t>
  </si>
  <si>
    <t>Captures Employee LWF for statutory compliance, payroll processing, and audit trail under PAYROLL &amp; FINANCIAL module.</t>
  </si>
  <si>
    <t>Enter Employee LWF. Optional; fill if applicable.</t>
  </si>
  <si>
    <t>Captures Total LWF for statutory compliance, payroll processing, and audit trail under PAYROLL &amp; FINANCIAL module.</t>
  </si>
  <si>
    <t>'=employerlwf+employeelwf</t>
  </si>
  <si>
    <t>Enter Total LWF. Optional; fill if applicable.</t>
  </si>
  <si>
    <t>Captures LWF payment date for statutory compliance, payroll processing, and audit trail under PAYROLL &amp; FINANCIAL module.</t>
  </si>
  <si>
    <t>Enter LWF payment date. Use DD-MM-YYYY format; validate range.</t>
  </si>
  <si>
    <t>Professional Tax</t>
  </si>
  <si>
    <t>Captures PT amount for statutory compliance, payroll processing, and audit trail under PAYROLL &amp; FINANCIAL module.</t>
  </si>
  <si>
    <t>Profession Tax Act (State-wise)</t>
  </si>
  <si>
    <t>Enter PT amount. Optional; fill if applicable.</t>
  </si>
  <si>
    <t>Captures PT payment date for statutory compliance, payroll processing, and audit trail under PAYROLL &amp; FINANCIAL module.</t>
  </si>
  <si>
    <t>Enter PT payment date. Use DD-MM-YYYY format; validate range.</t>
  </si>
  <si>
    <t>Captures PT payment monthly/half yearly / yearly for statutory compliance, payroll processing, and audit trail under PAYROLL &amp; FINANCIAL module.</t>
  </si>
  <si>
    <t>Enter PT payment monthly/half yearly / yearly. Optional; fill if applicable.</t>
  </si>
  <si>
    <t>Captures Bonus calculation for statutory compliance, payroll processing, and audit trail under PAYROLL &amp; FINANCIAL module.</t>
  </si>
  <si>
    <t>'=IF(grosssalary&lt;=21000,grosssalary*8.33%,3500)</t>
  </si>
  <si>
    <t>Enter Bonus calculation. Optional; fill if applicable.</t>
  </si>
  <si>
    <t>Captures Bonus eligibility for statutory compliance, payroll processing, and audit trail under PAYROLL &amp; FINANCIAL module.</t>
  </si>
  <si>
    <t>Enter Bonus eligibility. Optional; fill if applicable.</t>
  </si>
  <si>
    <t>Captures Monthly Gratuity calculation for statutory compliance, payroll processing, and audit trail under PAYROLL &amp; FINANCIAL module.</t>
  </si>
  <si>
    <t>Enter Monthly Gratuity calculation. Optional; fill if applicable.</t>
  </si>
  <si>
    <t>Captures Gratuity Eligibility for statutory compliance, payroll processing, and audit trail under PAYROLL &amp; FINANCIAL module.</t>
  </si>
  <si>
    <t>Enter Gratuity Eligibility. Optional; fill if applicable.</t>
  </si>
  <si>
    <t>Captures Employer  PF Registration for statutory compliance, payroll processing, and audit trail under PAYROLL &amp; FINANCIAL module.</t>
  </si>
  <si>
    <t>Enter Employer  PF Registration. Enter exact value as per official document.</t>
  </si>
  <si>
    <t>Captures EPF wages (same as Basic) for statutory compliance, payroll processing, and audit trail under PAYROLL &amp; FINANCIAL module.</t>
  </si>
  <si>
    <t>Enter EPF wages (same as Basic). Enter exact value as per official document.</t>
  </si>
  <si>
    <t>Captures EPS wages (same as Basic) for statutory compliance, payroll processing, and audit trail under PAYROLL &amp; FINANCIAL module.</t>
  </si>
  <si>
    <t>Enter EPS wages (same as Basic). Enter exact value as per official document.</t>
  </si>
  <si>
    <t>Captures EDLI wages (same as Basic) for statutory compliance, payroll processing, and audit trail under PAYROLL &amp; FINANCIAL module.</t>
  </si>
  <si>
    <t>Enter EDLI wages (same as Basic). Enter exact value as per official document.</t>
  </si>
  <si>
    <t>Captures EPF Contri remitted (12% of EPF wages) for statutory compliance, payroll processing, and audit trail under PAYROLL &amp; FINANCIAL module.</t>
  </si>
  <si>
    <t>Enter EPF Contri remitted (12% of EPF wages). Enter exact value as per official document.</t>
  </si>
  <si>
    <t>Captures EPS Contri remitted (8.33% of EPF wages or max 1250) for statutory compliance, payroll processing, and audit trail under PAYROLL &amp; FINANCIAL module.</t>
  </si>
  <si>
    <t>'=MIN(basicwage*8.33%,1250)</t>
  </si>
  <si>
    <t>Enter EPS Contri remitted (8.33% of EPF wages or max 1250). Enter exact value as per official document.</t>
  </si>
  <si>
    <t>Captures EPF and EPS differences for statutory compliance, payroll processing, and audit trail under PAYROLL &amp; FINANCIAL module.</t>
  </si>
  <si>
    <t>'=epfcontri-epscontri</t>
  </si>
  <si>
    <t>Enter EPF and EPS differences. Enter exact value as per official document.</t>
  </si>
  <si>
    <t>Captures NCP days for statutory compliance, payroll processing, and audit trail under PAYROLL &amp; FINANCIAL module.</t>
  </si>
  <si>
    <t>Enter NCP days. Optional; fill if applicable.</t>
  </si>
  <si>
    <t>Captures Amount Refund of advances for statutory compliance, payroll processing, and audit trail under PAYROLL &amp; FINANCIAL module.</t>
  </si>
  <si>
    <t>Enter Amount Refund of advances. Optional; fill if applicable.</t>
  </si>
  <si>
    <t>Captures Last Working Day (DD-MM-YYYY) (ESIC) for statutory compliance, payroll processing, and audit trail under PAYROLL &amp; FINANCIAL module.</t>
  </si>
  <si>
    <t>Enter Last Working Day (DD-MM-YYYY) (ESIC). Must match ESIC portal records.</t>
  </si>
  <si>
    <t>Captures Detailed Reason for Last Working Day for statutory compliance, payroll processing, and audit trail under PAYROLL &amp; FINANCIAL module.</t>
  </si>
  <si>
    <t>Enter Detailed Reason for Last Working Day. Optional; fill if applicable.</t>
  </si>
  <si>
    <t>Captures Cost Center for statutory compliance, payroll processing, and audit trail under PAYROLL &amp; FINANCIAL module.</t>
  </si>
  <si>
    <t>Enter Cost Center. Optional; fill if applicable.</t>
  </si>
  <si>
    <t>Captures EPF Date of Joining / For Apprenticeship EPF is N.A for statutory compliance, payroll processing, and audit trail under PAYROLL &amp; FINANCIAL module.</t>
  </si>
  <si>
    <t>Enter EPF Date of Joining / For Apprenticeship EPF is N.A. Use DD-MM-YYYY format; validate range.</t>
  </si>
  <si>
    <t>Captures EPF Date of Exit / For Apprenticeship EPF is N.A for statutory compliance, payroll processing, and audit trail under PAYROLL &amp; FINANCIAL module.</t>
  </si>
  <si>
    <t>Enter EPF Date of Exit / For Apprenticeship EPF is N.A. Use DD-MM-YYYY format; validate range.</t>
  </si>
  <si>
    <t>Captures CTC (Annual) for statutory compliance, payroll processing, and audit trail under PAYROLL &amp; FINANCIAL module.</t>
  </si>
  <si>
    <t>'=grosssalary*12+annualbonus+annualgratuity</t>
  </si>
  <si>
    <t>Enter CTC (Annual). Optional; fill if applicable.</t>
  </si>
  <si>
    <t>Gross Salary</t>
  </si>
  <si>
    <t>Captures Gross Salary (Monthly) for statutory compliance, payroll processing, and audit trail under PAYROLL &amp; FINANCIAL module.</t>
  </si>
  <si>
    <t>'=basic+da+hra+medical+conveyance+otherallowance</t>
  </si>
  <si>
    <t>Enter Gross Salary (Monthly). Enter exact value as per official document.</t>
  </si>
  <si>
    <t>Net Salary</t>
  </si>
  <si>
    <t>Captures Net Salary (Monthly) for statutory compliance, payroll processing, and audit trail under PAYROLL &amp; FINANCIAL module.</t>
  </si>
  <si>
    <t>'=grosssalary-pf_emp-esi_emp-lwf_emp-pt-tds-otherdeductions</t>
  </si>
  <si>
    <t>Enter Net Salary (Monthly). Optional; fill if applicable.</t>
  </si>
  <si>
    <t>Captures Leave Without Pay (LWP) Days for statutory compliance, payroll processing, and audit trail under PAYROLL &amp; FINANCIAL module.</t>
  </si>
  <si>
    <t>Enter Leave Without Pay (LWP) Days. Optional; fill if applicable.</t>
  </si>
  <si>
    <t>Captures Bank Account Number for statutory compliance, payroll processing, and audit trail under PAYROLL &amp; FINANCIAL module.</t>
  </si>
  <si>
    <t>Enter Bank Account Number. Enter exact value as per official document.</t>
  </si>
  <si>
    <t>Captures IFSC Code for statutory compliance, payroll processing, and audit trail under PAYROLL &amp; FINANCIAL module.</t>
  </si>
  <si>
    <t>Pattern: [A-Z]{4}0[A-Z0-9]{6}</t>
  </si>
  <si>
    <t>Enter IFSC Code. Enter exact value as per official document.</t>
  </si>
  <si>
    <t>Captures Bonus Payment Month for statutory compliance, payroll processing, and audit trail under PAYROLL &amp; FINANCIAL module.</t>
  </si>
  <si>
    <t>Enter Bonus Payment Month. Optional; fill if applicable.</t>
  </si>
  <si>
    <t>Captures Bonus Amount Paid for statutory compliance, payroll processing, and audit trail under PAYROLL &amp; FINANCIAL module.</t>
  </si>
  <si>
    <t>Enter Bonus Amount Paid. Optional; fill if applicable.</t>
  </si>
  <si>
    <t>Captures Date of Gratuity Eligibility for statutory compliance, payroll processing, and audit trail under PAYROLL &amp; FINANCIAL module.</t>
  </si>
  <si>
    <t>'=doj+5years (date-based calculation)</t>
  </si>
  <si>
    <t>Enter Date of Gratuity Eligibility. Use DD-MM-YYYY format; validate range.</t>
  </si>
  <si>
    <t>Captures Gratuity Amount Payable for statutory compliance, payroll processing, and audit trail under PAYROLL &amp; FINANCIAL module.</t>
  </si>
  <si>
    <t>'=(basicwage+da)/26*15*yearsofservice</t>
  </si>
  <si>
    <t>Enter Gratuity Amount Payable. Optional; fill if applicable.</t>
  </si>
  <si>
    <t>Captures Last Delivery Date for statutory compliance, payroll processing, and audit trail under PAYROLL &amp; FINANCIAL module.</t>
  </si>
  <si>
    <t>Enter Last Delivery Date. Use DD-MM-YYYY format; validate range.</t>
  </si>
  <si>
    <t>Captures CTC for statutory compliance, payroll processing, and audit trail under PAYROLL &amp; FINANCIAL module.</t>
  </si>
  <si>
    <t>Enter CTC. Optional; fill if applicable.</t>
  </si>
  <si>
    <t>Captures Basic Wage for statutory compliance, payroll processing, and audit trail under PAYROLL &amp; FINANCIAL module.</t>
  </si>
  <si>
    <t>Enter Basic Wage. Enter exact value as per official document.</t>
  </si>
  <si>
    <t>Captures DA for statutory compliance, payroll processing, and audit trail under PAYROLL &amp; FINANCIAL module.</t>
  </si>
  <si>
    <t>Enter DA. Optional; fill if applicable.</t>
  </si>
  <si>
    <t>Captures Bonus Eligibility for statutory compliance, payroll processing, and audit trail under PAYROLL &amp; FINANCIAL module.</t>
  </si>
  <si>
    <t>Enter Bonus Eligibility. Optional; fill if applicable.</t>
  </si>
  <si>
    <t>Captures Bonus Paid for statutory compliance, payroll processing, and audit trail under PAYROLL &amp; FINANCIAL module.</t>
  </si>
  <si>
    <t>Enter Bonus Paid. Optional; fill if applicable.</t>
  </si>
  <si>
    <t>Captures Gratuity Eligibility Date for statutory compliance, payroll processing, and audit trail under PAYROLL &amp; FINANCIAL module.</t>
  </si>
  <si>
    <t>Enter Gratuity Eligibility Date. Use DD-MM-YYYY format; validate range.</t>
  </si>
  <si>
    <t>Captures Leave Encashment Eligibility for statutory compliance, payroll processing, and audit trail under PAYROLL &amp; FINANCIAL module.</t>
  </si>
  <si>
    <t>Enter Leave Encashment Eligibility. Optional; fill if applicable.</t>
  </si>
  <si>
    <t>Apprenticeship</t>
  </si>
  <si>
    <t>Captures Stipend Amount (₹) - Apprentice for statutory compliance, payroll processing, and audit trail under PAYROLL &amp; FINANCIAL module.</t>
  </si>
  <si>
    <t>Apprentice Register (BOAT)</t>
  </si>
  <si>
    <t>Enter Stipend Amount (₹) - Apprentice. Optional; fill if applicable.</t>
  </si>
  <si>
    <t>Captures Number of Dependants for statutory compliance, payroll processing, and audit trail under PAYROLL &amp; FINANCIAL module.</t>
  </si>
  <si>
    <t>Enter Number of Dependants. Optional; fill if applicable.</t>
  </si>
  <si>
    <t>Captures Total Deduction from salary for statutory compliance, payroll processing, and audit trail under PAYROLL &amp; FINANCIAL module.</t>
  </si>
  <si>
    <t>Enter Total Deduction from salary. Optional; fill if applicable.</t>
  </si>
  <si>
    <t>Captures Amount of Damage / Loss for statutory compliance, payroll processing, and audit trail under PAYROLL &amp; FINANCIAL module.</t>
  </si>
  <si>
    <t>Enter Amount of Damage / Loss. Optional; fill if applicable.</t>
  </si>
  <si>
    <t>Captures Amount per Installment  Damage / Loss for statutory compliance, payroll processing, and audit trail under PAYROLL &amp; FINANCIAL module.</t>
  </si>
  <si>
    <t>Enter Amount per Installment  Damage / Loss. Optional; fill if applicable.</t>
  </si>
  <si>
    <t>Captures Date of Offence for statutory compliance, payroll processing, and audit trail under PAYROLL &amp; FINANCIAL module.</t>
  </si>
  <si>
    <t>Enter Date of Offence. Use DD-MM-YYYY format; validate range.</t>
  </si>
  <si>
    <t>Captures Date of Show Cause Notice for statutory compliance, payroll processing, and audit trail under PAYROLL &amp; FINANCIAL module.</t>
  </si>
  <si>
    <t>Enter Date of Show Cause Notice. Use DD-MM-YYYY format; validate range.</t>
  </si>
  <si>
    <t>Captures Date of Explanation Received for statutory compliance, payroll processing, and audit trail under PAYROLL &amp; FINANCIAL module.</t>
  </si>
  <si>
    <t>Enter Date of Explanation Received. Use DD-MM-YYYY format; validate range.</t>
  </si>
  <si>
    <t>Captures Date on which Fine Imposed for statutory compliance, payroll processing, and audit trail under PAYROLL &amp; FINANCIAL module.</t>
  </si>
  <si>
    <t>Enter Date on which Fine Imposed. Use DD-MM-YYYY format; validate range.</t>
  </si>
  <si>
    <t>Captures Date on which Offence Noticed for statutory compliance, payroll processing, and audit trail under PAYROLL &amp; FINANCIAL module.</t>
  </si>
  <si>
    <t>Enter Date on which Offence Noticed. Use DD-MM-YYYY format; validate range.</t>
  </si>
  <si>
    <t>Captures Date of Fine Order MW for statutory compliance, payroll processing, and audit trail under PAYROLL &amp; FINANCIAL module.</t>
  </si>
  <si>
    <t>Enter Date of Fine Order MW. Use DD-MM-YYYY format; validate range.</t>
  </si>
  <si>
    <t>Captures Amount of Fine (₹) MW for statutory compliance, payroll processing, and audit trail under PAYROLL &amp; FINANCIAL module.</t>
  </si>
  <si>
    <t>Enter Amount of Fine (₹) MW. Optional; fill if applicable.</t>
  </si>
  <si>
    <t>Captures Date of Recovery MW for statutory compliance, payroll processing, and audit trail under PAYROLL &amp; FINANCIAL module.</t>
  </si>
  <si>
    <t>Enter Date of Recovery MW. Use DD-MM-YYYY format; validate range.</t>
  </si>
  <si>
    <t>Captures Amount Recovered Till Date for statutory compliance, payroll processing, and audit trail under PAYROLL &amp; FINANCIAL module.</t>
  </si>
  <si>
    <t>Enter Amount Recovered Till Date. Use DD-MM-YYYY format; validate range.</t>
  </si>
  <si>
    <t>Captures Date of Order MW for statutory compliance, payroll processing, and audit trail under PAYROLL &amp; FINANCIAL module.</t>
  </si>
  <si>
    <t>Enter Date of Order MW. Use DD-MM-YYYY format; validate range.</t>
  </si>
  <si>
    <t>Captures Amount Ordered (₹) Damages for statutory compliance, payroll processing, and audit trail under PAYROLL &amp; FINANCIAL module.</t>
  </si>
  <si>
    <t>Enter Amount Ordered (₹) Damages. Optional; fill if applicable.</t>
  </si>
  <si>
    <t>Captures Wage Period of Recovery MW Damages for statutory compliance, payroll processing, and audit trail under PAYROLL &amp; FINANCIAL module.</t>
  </si>
  <si>
    <t>Enter Wage Period of Recovery MW Damages. Optional; fill if applicable.</t>
  </si>
  <si>
    <t>Captures Cumulative Deducted (₹) MW Damages for statutory compliance, payroll processing, and audit trail under PAYROLL &amp; FINANCIAL module.</t>
  </si>
  <si>
    <t>Enter Cumulative Deducted (₹) MW Damages. Optional; fill if applicable.</t>
  </si>
  <si>
    <t>Captures % of Wages Deducted MW Damages for statutory compliance, payroll processing, and audit trail under PAYROLL &amp; FINANCIAL module.</t>
  </si>
  <si>
    <t>Enter % of Wages Deducted MW Damages. Optional; fill if applicable.</t>
  </si>
  <si>
    <t>Captures Other deduction MW for statutory compliance, payroll processing, and audit trail under PAYROLL &amp; FINANCIAL module.</t>
  </si>
  <si>
    <t>Enter Other deduction MW. Optional; fill if applicable.</t>
  </si>
  <si>
    <t>Captures Date of payment for statutory compliance, payroll processing, and audit trail under PAYROLL &amp; FINANCIAL module.</t>
  </si>
  <si>
    <t>Enter Date of payment. Use DD-MM-YYYY format; validate range.</t>
  </si>
  <si>
    <t>Captures Total Loss of pay for statutory compliance, payroll processing, and audit trail under PAYROLL &amp; FINANCIAL module.</t>
  </si>
  <si>
    <t>Enter Total Loss of pay. Optional; fill if applicable.</t>
  </si>
  <si>
    <t>Captures Weekly Holiday for statutory compliance, payroll processing, and audit trail under PAYROLL &amp; FINANCIAL module.</t>
  </si>
  <si>
    <t>Enter Weekly Holiday. Optional; fill if applicable.</t>
  </si>
  <si>
    <t>Captures Days Worked (Prev. Year) for statutory compliance, payroll processing, and audit trail under PAYROLL &amp; FINANCIAL module.</t>
  </si>
  <si>
    <t>Enter Days Worked (Prev. Year). Optional; fill if applicable.</t>
  </si>
  <si>
    <t>Captures Leave Entitlement (Days) for statutory compliance, payroll processing, and audit trail under PAYROLL &amp; FINANCIAL module.</t>
  </si>
  <si>
    <t>'=INT(daysworkedprevyear/20)</t>
  </si>
  <si>
    <t>Enter Leave Entitlement (Days). Optional; fill if applicable.</t>
  </si>
  <si>
    <t>Captures Leave Applied (Days) for statutory compliance, payroll processing, and audit trail under PAYROLL &amp; FINANCIAL module.</t>
  </si>
  <si>
    <t>Enter Leave Applied (Days). Optional; fill if applicable.</t>
  </si>
  <si>
    <t>Captures Wages Paid During Leave for statutory compliance, payroll processing, and audit trail under PAYROLL &amp; FINANCIAL module.</t>
  </si>
  <si>
    <t>Enter Wages Paid During Leave. Optional; fill if applicable.</t>
  </si>
  <si>
    <t>Captures Leave From Date for statutory compliance, payroll processing, and audit trail under PAYROLL &amp; FINANCIAL module.</t>
  </si>
  <si>
    <t>Enter Leave From Date. Use DD-MM-YYYY format; validate range.</t>
  </si>
  <si>
    <t>Captures Leave To Date for statutory compliance, payroll processing, and audit trail under PAYROLL &amp; FINANCIAL module.</t>
  </si>
  <si>
    <t>Enter Leave To Date. Use DD-MM-YYYY format; validate range.</t>
  </si>
  <si>
    <t>Accident Record</t>
  </si>
  <si>
    <t>Captures Date &amp; Time of Accident for statutory compliance, payroll processing, and audit trail under PAYROLL &amp; FINANCIAL module.</t>
  </si>
  <si>
    <t>Factories Act 1948 / BOCW Act 1996</t>
  </si>
  <si>
    <t>Enter Date &amp; Time of Accident. Use DD-MM-YYYY format; validate range.</t>
  </si>
  <si>
    <t>Captures Days Lost (LTI) / Estimated Days of Absence: for statutory compliance, payroll processing, and audit trail under PAYROLL &amp; FINANCIAL module.</t>
  </si>
  <si>
    <t>Enter Days Lost (LTI) / Estimated Days of Absence:. Optional; fill if applicable.</t>
  </si>
  <si>
    <t>Captures Date Reported to Inspector for statutory compliance, payroll processing, and audit trail under PAYROLL &amp; FINANCIAL module.</t>
  </si>
  <si>
    <t>Enter Date Reported to Inspector. Use DD-MM-YYYY format; validate range.</t>
  </si>
  <si>
    <t>Captures Apprentices Act Date of Contract Execution for statutory compliance, payroll processing, and audit trail under PAYROLL &amp; FINANCIAL module.</t>
  </si>
  <si>
    <t>Enter Apprentices Act Date of Contract Execution. Use DD-MM-YYYY format; validate range.</t>
  </si>
  <si>
    <t>Expiry &amp; Renewal</t>
  </si>
  <si>
    <t>Captures Apprentices Act Date of Expiry for statutory compliance, payroll processing, and audit trail under PAYROLL &amp; FINANCIAL module.</t>
  </si>
  <si>
    <t>Enter Apprentices Act Date of Expiry. Use DD-MM-YYYY format; validate range.</t>
  </si>
  <si>
    <t>Captures Apprentices Act Earned Stipend (₹) (Prorated) / Month for statutory compliance, payroll processing, and audit trail under PAYROLL &amp; FINANCIAL module.</t>
  </si>
  <si>
    <t>Enter Apprentices Act Earned Stipend (₹) (Prorated) / Month. Optional; fill if applicable.</t>
  </si>
  <si>
    <t>Captures Apprentices Act BOAT Regn. Date for statutory compliance, payroll processing, and audit trail under PAYROLL &amp; FINANCIAL module.</t>
  </si>
  <si>
    <t>Enter Apprentices Act BOAT Regn. Date. Use DD-MM-YYYY format; validate range.</t>
  </si>
  <si>
    <t>Captures Apprentices Deductions (₹) (Absence) for statutory compliance, payroll processing, and audit trail under PAYROLL &amp; FINANCIAL module.</t>
  </si>
  <si>
    <t>Enter Apprentices Deductions (₹) (Absence). Optional; fill if applicable.</t>
  </si>
  <si>
    <t>Captures Apprentices Net Stipend for statutory compliance, payroll processing, and audit trail under PAYROLL &amp; FINANCIAL module.</t>
  </si>
  <si>
    <t>Enter Apprentices Net Stipend. Optional; fill if applicable.</t>
  </si>
  <si>
    <t>Maternity Benefit</t>
  </si>
  <si>
    <t>Captures MATERNITY No. of Days for statutory compliance, payroll processing, and audit trail under PAYROLL &amp; FINANCIAL module.</t>
  </si>
  <si>
    <t>Enter MATERNITY No. of Days. Optional; fill if applicable.</t>
  </si>
  <si>
    <t>Captures MATERNITY Date of Certificate for statutory compliance, payroll processing, and audit trail under PAYROLL &amp; FINANCIAL module.</t>
  </si>
  <si>
    <t>Enter MATERNITY Date of Certificate. Use DD-MM-YYYY format; validate range.</t>
  </si>
  <si>
    <t>Captures Date of Confinement (Expected) for statutory compliance, payroll processing, and audit trail under PAYROLL &amp; FINANCIAL module.</t>
  </si>
  <si>
    <t>Enter Date of Confinement (Expected). Use DD-MM-YYYY format; validate range.</t>
  </si>
  <si>
    <t>Captures Date of Confinement (Actual) for statutory compliance, payroll processing, and audit trail under PAYROLL &amp; FINANCIAL module.</t>
  </si>
  <si>
    <t>Enter Date of Confinement (Actual). Use DD-MM-YYYY format; validate range.</t>
  </si>
  <si>
    <t>Captures MATERNITY  Daily Wage (₹) for statutory compliance, payroll processing, and audit trail under PAYROLL &amp; FINANCIAL module.</t>
  </si>
  <si>
    <t>Enter MATERNITY  Daily Wage (₹). Optional; fill if applicable.</t>
  </si>
  <si>
    <t>Captures Total Maternity Benefit (₹) for statutory compliance, payroll processing, and audit trail under PAYROLL &amp; FINANCIAL module.</t>
  </si>
  <si>
    <t>Maternity Benefit Register</t>
  </si>
  <si>
    <t>Enter Total Maternity Benefit (₹). Optional; fill if applicable.</t>
  </si>
  <si>
    <t>Captures Others Allowance for statutory compliance, payroll processing, and audit trail under PAYROLL &amp; FINANCIAL module.</t>
  </si>
  <si>
    <t>Enter Others Allowance. Optional; fill if applicable.</t>
  </si>
  <si>
    <t>Captures Society Deduction for statutory compliance, payroll processing, and audit trail under PAYROLL &amp; FINANCIAL module.</t>
  </si>
  <si>
    <t>Enter Society Deduction. Optional; fill if applicable.</t>
  </si>
  <si>
    <t>Captures Employee Insurance deduction for statutory compliance, payroll processing, and audit trail under PAYROLL &amp; FINANCIAL module.</t>
  </si>
  <si>
    <t>Enter Employee Insurance deduction. Optional; fill if applicable.</t>
  </si>
  <si>
    <t>Captures Medical Insurance deduction for statutory compliance, payroll processing, and audit trail under PAYROLL &amp; FINANCIAL module.</t>
  </si>
  <si>
    <t>Enter Medical Insurance deduction. Optional; fill if applicable.</t>
  </si>
  <si>
    <t>Captures Subsistance allowance if any for statutory compliance, payroll processing, and audit trail under PAYROLL &amp; FINANCIAL module.</t>
  </si>
  <si>
    <t>Enter Subsistance allowance if any. Optional; fill if applicable.</t>
  </si>
  <si>
    <t>Captures Exit Interview Status for statutory compliance, payroll processing, and audit trail under COMPLIANCE &amp; DOCUMENTATION module.</t>
  </si>
  <si>
    <t>Compliance Officer</t>
  </si>
  <si>
    <t>Enter Exit Interview Status. Select from approved dropdown list.</t>
  </si>
  <si>
    <t>Captures Asset Recovery Status for statutory compliance, payroll processing, and audit trail under COMPLIANCE &amp; DOCUMENTATION module.</t>
  </si>
  <si>
    <t>Enter Asset Recovery Status. Select from approved dropdown list.</t>
  </si>
  <si>
    <t>Background Verification</t>
  </si>
  <si>
    <t>Captures BGV Status for statutory compliance, payroll processing, and audit trail under COMPLIANCE &amp; DOCUMENTATION module.</t>
  </si>
  <si>
    <t>Enter BGV Status. Select from approved dropdown list.</t>
  </si>
  <si>
    <t>Captures Compliance Risk Category for statutory compliance, payroll processing, and audit trail under COMPLIANCE &amp; DOCUMENTATION module.</t>
  </si>
  <si>
    <t>Enter Compliance Risk Category. Optional; fill if applicable.</t>
  </si>
  <si>
    <t>Captures Mode of Wage Payment (Cash/Bank/Cheque) for statutory compliance, payroll processing, and audit trail under COMPLIANCE &amp; DOCUMENTATION module.</t>
  </si>
  <si>
    <t>Enter Mode of Wage Payment (Cash/Bank/Cheque). Optional; fill if applicable.</t>
  </si>
  <si>
    <t>Onboarding Documents</t>
  </si>
  <si>
    <t>Captures Offer Letter Issued (Yes/No) for statutory compliance, payroll processing, and audit trail under COMPLIANCE &amp; DOCUMENTATION module.</t>
  </si>
  <si>
    <t>Enter Offer Letter Issued (Yes/No). Select from approved dropdown list.</t>
  </si>
  <si>
    <t>Captures Appointment Letter Issued (Yes/No) for statutory compliance, payroll processing, and audit trail under COMPLIANCE &amp; DOCUMENTATION module.</t>
  </si>
  <si>
    <t>Enter Appointment Letter Issued (Yes/No). Select from approved dropdown list.</t>
  </si>
  <si>
    <t>Captures Form 11 (EPF) Submitted (Yes/No) for statutory compliance, payroll processing, and audit trail under COMPLIANCE &amp; DOCUMENTATION module.</t>
  </si>
  <si>
    <t>Enter Form 11 (EPF) Submitted (Yes/No). Enter exact value as per official document.</t>
  </si>
  <si>
    <t>Captures Form 1 (ESI) Submitted (Yes/No) for statutory compliance, payroll processing, and audit trail under COMPLIANCE &amp; DOCUMENTATION module.</t>
  </si>
  <si>
    <t>Enter Form 1 (ESI) Submitted (Yes/No). Enter exact value as per official document.</t>
  </si>
  <si>
    <t>Captures Nomination Form Submitted (Yes/No) for statutory compliance, payroll processing, and audit trail under COMPLIANCE &amp; DOCUMENTATION module.</t>
  </si>
  <si>
    <t>Enter Nomination Form Submitted (Yes/No). Select from approved dropdown list.</t>
  </si>
  <si>
    <t>Document Status</t>
  </si>
  <si>
    <t>Captures Document Upload Status for statutory compliance, payroll processing, and audit trail under COMPLIANCE &amp; DOCUMENTATION module.</t>
  </si>
  <si>
    <t>Enter Document Upload Status. Select from approved dropdown list.</t>
  </si>
  <si>
    <t>Audit Fields</t>
  </si>
  <si>
    <t>Captures Last Audit Date for statutory compliance, payroll processing, and audit trail under COMPLIANCE &amp; DOCUMENTATION module.</t>
  </si>
  <si>
    <t>Enter Last Audit Date. Use DD-MM-YYYY format; validate range.</t>
  </si>
  <si>
    <t>Captures Auditor Name for statutory compliance, payroll processing, and audit trail under COMPLIANCE &amp; DOCUMENTATION module.</t>
  </si>
  <si>
    <t>Enter Auditor Name. Enter exact value as per official document.</t>
  </si>
  <si>
    <t>Captures Compliance Officer Name for statutory compliance, payroll processing, and audit trail under COMPLIANCE &amp; DOCUMENTATION module.</t>
  </si>
  <si>
    <t>Enter Compliance Officer Name. Enter exact value as per official document.</t>
  </si>
  <si>
    <t>Income Tax / TDS</t>
  </si>
  <si>
    <t>Captures TDS Applicable for statutory compliance, payroll processing, and audit trail under COMPLIANCE &amp; DOCUMENTATION module.</t>
  </si>
  <si>
    <t>Income Tax Act 1961 / Sec 192</t>
  </si>
  <si>
    <t>Enter TDS Applicable. Select from approved dropdown list.</t>
  </si>
  <si>
    <t>Captures TDS Section for statutory compliance, payroll processing, and audit trail under COMPLIANCE &amp; DOCUMENTATION module.</t>
  </si>
  <si>
    <t>Enter TDS Section. Optional; fill if applicable.</t>
  </si>
  <si>
    <t>Captures TDS Amount for statutory compliance, payroll processing, and audit trail under COMPLIANCE &amp; DOCUMENTATION module.</t>
  </si>
  <si>
    <t>Enter TDS Amount. Optional; fill if applicable.</t>
  </si>
  <si>
    <t>Captures Factory / S&amp;E Applicability for statutory compliance, payroll processing, and audit trail under COMPLIANCE &amp; DOCUMENTATION module.</t>
  </si>
  <si>
    <t>Enter Factory / S&amp;E Applicability. Optional; fill if applicable.</t>
  </si>
  <si>
    <t>Captures Inspection Remarks for statutory compliance, payroll processing, and audit trail under COMPLIANCE &amp; DOCUMENTATION module.</t>
  </si>
  <si>
    <t>Enter Inspection Remarks. Optional; fill if applicable.</t>
  </si>
  <si>
    <t>Captures Last Compliance Audit Date for statutory compliance, payroll processing, and audit trail under COMPLIANCE &amp; DOCUMENTATION module.</t>
  </si>
  <si>
    <t>Enter Last Compliance Audit Date. Use DD-MM-YYYY format; validate range.</t>
  </si>
  <si>
    <t>Captures Document Verification Status for statutory compliance, payroll processing, and audit trail under COMPLIANCE &amp; DOCUMENTATION module.</t>
  </si>
  <si>
    <t>Enter Document Verification Status. Select from approved dropdown list.</t>
  </si>
  <si>
    <t>Captures Police Verification Status for statutory compliance, payroll processing, and audit trail under COMPLIANCE &amp; DOCUMENTATION module.</t>
  </si>
  <si>
    <t>Enter Police Verification Status. Select from approved dropdown list.</t>
  </si>
  <si>
    <t>Training &amp; Safety</t>
  </si>
  <si>
    <t>Captures Training Completion Status for statutory compliance, payroll processing, and audit trail under COMPLIANCE &amp; DOCUMENTATION module.</t>
  </si>
  <si>
    <t>Enter Training Completion Status. Select from approved dropdown list.</t>
  </si>
  <si>
    <t>Safety Equipment</t>
  </si>
  <si>
    <t>Captures PPE Issued for statutory compliance, payroll processing, and audit trail under COMPLIANCE &amp; DOCUMENTATION module.</t>
  </si>
  <si>
    <t>Enter PPE Issued. Optional; fill if applicable.</t>
  </si>
  <si>
    <t>Captures Full &amp; Final Settlement Status for statutory compliance, payroll processing, and audit trail under COMPLIANCE &amp; DOCUMENTATION module.</t>
  </si>
  <si>
    <t>Enter Full &amp; Final Settlement Status. Select from approved dropdown list.</t>
  </si>
  <si>
    <t>Captures ER-1 Return Eligibility Flag (&gt;100 workers) for statutory compliance, payroll processing, and audit trail under COMPLIANCE &amp; DOCUMENTATION module.</t>
  </si>
  <si>
    <t>Enter ER-1 Return Eligibility Flag (&gt;100 workers). Optional; fill if applicable.</t>
  </si>
  <si>
    <t>Captures ER-2 Return Eligibility Flag (&gt;100 workers) for statutory compliance, payroll processing, and audit trail under COMPLIANCE &amp; DOCUMENTATION module.</t>
  </si>
  <si>
    <t>Enter ER-2 Return Eligibility Flag (&gt;100 workers). Optional; fill if applicable.</t>
  </si>
  <si>
    <t>Incident Record</t>
  </si>
  <si>
    <t>Captures Factory Incident Date, Time &amp; Day of Dangerous Occurrence: for statutory compliance, payroll processing, and audit trail under COMPLIANCE &amp; DOCUMENTATION module.</t>
  </si>
  <si>
    <t>Enter Factory Incident Date, Time &amp; Day of Dangerous Occurrence:. Use DD-MM-YYYY format; validate range.</t>
  </si>
  <si>
    <t>Captures Factory Incident Exact Location within Factory: for statutory compliance, payroll processing, and audit trail under COMPLIANCE &amp; DOCUMENTATION module.</t>
  </si>
  <si>
    <t>Accident Register (Factories Act)</t>
  </si>
  <si>
    <t>Enter Factory Incident Exact Location within Factory:. Optional; fill if applicable.</t>
  </si>
  <si>
    <t>Captures Factory Incident Type / Category of Dangerous Occurrence: for statutory compliance, payroll processing, and audit trail under COMPLIANCE &amp; DOCUMENTATION module.</t>
  </si>
  <si>
    <t>Enter Factory Incident Type / Category of Dangerous Occurrence:. Optional; fill if applicable.</t>
  </si>
  <si>
    <t>Captures Factory Incident Detailed Description of the Occurrence: for statutory compliance, payroll processing, and audit trail under COMPLIANCE &amp; DOCUMENTATION module.</t>
  </si>
  <si>
    <t>Enter Factory Incident Detailed Description of the Occurrence:. Optional; fill if applicable.</t>
  </si>
  <si>
    <t>Captures Factory Incident Plant, Machinery, Equipment Involved: for statutory compliance, payroll processing, and audit trail under COMPLIANCE &amp; DOCUMENTATION module.</t>
  </si>
  <si>
    <t>Enter Factory Incident Plant, Machinery, Equipment Involved:. Optional; fill if applicable.</t>
  </si>
  <si>
    <t>Captures Factory Incident Injuries to Person(s) – Names &amp; Extent: for statutory compliance, payroll processing, and audit trail under COMPLIANCE &amp; DOCUMENTATION module.</t>
  </si>
  <si>
    <t>Enter Factory Incident Injuries to Person(s) – Names &amp; Extent:. Enter exact value as per official document.</t>
  </si>
  <si>
    <t>Captures Factory Incident Damage to Property – Description &amp; Value (₹): for statutory compliance, payroll processing, and audit trail under COMPLIANCE &amp; DOCUMENTATION module.</t>
  </si>
  <si>
    <t>Enter Factory Incident Damage to Property – Description &amp; Value (₹):. Optional; fill if applicable.</t>
  </si>
  <si>
    <t>Captures Factory Incident Probable Cause of Dangerous Occurrence: for statutory compliance, payroll processing, and audit trail under COMPLIANCE &amp; DOCUMENTATION module.</t>
  </si>
  <si>
    <t>Enter Factory Incident Probable Cause of Dangerous Occurrence:. Optional; fill if applicable.</t>
  </si>
  <si>
    <t>Captures Factory Incident Immediate Action Taken: for statutory compliance, payroll processing, and audit trail under COMPLIANCE &amp; DOCUMENTATION module.</t>
  </si>
  <si>
    <t>Enter Factory Incident Immediate Action Taken:. Optional; fill if applicable.</t>
  </si>
  <si>
    <t>Captures Factory Incident Was Factory Production Stopped? (Y/N): for statutory compliance, payroll processing, and audit trail under COMPLIANCE &amp; DOCUMENTATION module.</t>
  </si>
  <si>
    <t>Enter Factory Incident Was Factory Production Stopped? (Y/N):. Optional; fill if applicable.</t>
  </si>
  <si>
    <t>Captures Factory Incident Estimated Duration of Stoppage (hrs): for statutory compliance, payroll processing, and audit trail under COMPLIANCE &amp; DOCUMENTATION module.</t>
  </si>
  <si>
    <t>Enter Factory Incident Estimated Duration of Stoppage (hrs):. Optional; fill if applicable.</t>
  </si>
  <si>
    <t>Captures Factory Incident Was Fire Brigade / MIDC / PESO Informed?: for statutory compliance, payroll processing, and audit trail under COMPLIANCE &amp; DOCUMENTATION module.</t>
  </si>
  <si>
    <t>Enter Factory Incident Was Fire Brigade / MIDC / PESO Informed?:. Optional; fill if applicable.</t>
  </si>
  <si>
    <t>Captures Factory Incident Names of Witnesses: for statutory compliance, payroll processing, and audit trail under COMPLIANCE &amp; DOCUMENTATION module.</t>
  </si>
  <si>
    <t>Enter Factory Incident Names of Witnesses:. Enter exact value as per official document.</t>
  </si>
  <si>
    <t>Captures Factory Incident Name of Investigator (Internal): for statutory compliance, payroll processing, and audit trail under COMPLIANCE &amp; DOCUMENTATION module.</t>
  </si>
  <si>
    <t>Enter Factory Incident Name of Investigator (Internal):. Enter exact value as per official document.</t>
  </si>
  <si>
    <t>Captures Factory Incident Investigation Committee Members: for statutory compliance, payroll processing, and audit trail under COMPLIANCE &amp; DOCUMENTATION module.</t>
  </si>
  <si>
    <t>Enter Factory Incident Investigation Committee Members:. Optional; fill if applicable.</t>
  </si>
  <si>
    <t>Captures Factory Incident Root Cause Analysis Summary: for statutory compliance, payroll processing, and audit trail under COMPLIANCE &amp; DOCUMENTATION module.</t>
  </si>
  <si>
    <t>Enter Factory Incident Root Cause Analysis Summary:. Optional; fill if applicable.</t>
  </si>
  <si>
    <t>Captures Factory Incident Corrective &amp; Preventive Measures Proposed: for statutory compliance, payroll processing, and audit trail under COMPLIANCE &amp; DOCUMENTATION module.</t>
  </si>
  <si>
    <t>Enter Factory Incident Corrective &amp; Preventive Measures Proposed:. Optional; fill if applicable.</t>
  </si>
  <si>
    <t>Captures Factory Incident Target Date for Implementation: for statutory compliance, payroll processing, and audit trail under COMPLIANCE &amp; DOCUMENTATION module.</t>
  </si>
  <si>
    <t>Enter Factory Incident Target Date for Implementation:. Use DD-MM-YYYY format; validate range.</t>
  </si>
  <si>
    <t>Captures Factory Incident Date of Reporting to Chief Inspector: for statutory compliance, payroll processing, and audit trail under COMPLIANCE &amp; DOCUMENTATION module.</t>
  </si>
  <si>
    <t>Enter Factory Incident Date of Reporting to Chief Inspector:. Use DD-MM-YYYY format; validate range.</t>
  </si>
  <si>
    <t>Captures Factory Incident Remarks / Additional Information: for statutory compliance, payroll processing, and audit trail under COMPLIANCE &amp; DOCUMENTATION module.</t>
  </si>
  <si>
    <t>Enter Factory Incident Remarks / Additional Information:. Optional; fill if applicable.</t>
  </si>
  <si>
    <t>Captures Factory Incident Occurrence Ref. No. for statutory compliance, payroll processing, and audit trail under COMPLIANCE &amp; DOCUMENTATION module.</t>
  </si>
  <si>
    <t>Enter Factory Incident Occurrence Ref. No.. Optional; fill if applicable.</t>
  </si>
  <si>
    <t>Captures Factory Incident Investigation Committee for statutory compliance, payroll processing, and audit trail under COMPLIANCE &amp; DOCUMENTATION module.</t>
  </si>
  <si>
    <t>Enter Factory Incident Investigation Committee. Optional; fill if applicable.</t>
  </si>
  <si>
    <t>Captures Factory Incident Follow-up Date for statutory compliance, payroll processing, and audit trail under COMPLIANCE &amp; DOCUMENTATION module.</t>
  </si>
  <si>
    <t>Enter Factory Incident Follow-up Date. Use DD-MM-YYYY format; validate range.</t>
  </si>
  <si>
    <t>Captures Factory Incident Status for statutory compliance, payroll processing, and audit trail under COMPLIANCE &amp; DOCUMENTATION module.</t>
  </si>
  <si>
    <t>Enter Factory Incident Status. Optional; fill if applicable.</t>
  </si>
  <si>
    <t>Captures Name and address of the establishment registered for statutory compliance, payroll processing, and audit trail under COMPLIANCE &amp; DOCUMENTATION module.</t>
  </si>
  <si>
    <t>Enter Name and address of the establishment registered. Enter exact value as per official document.</t>
  </si>
  <si>
    <t>Captures Name of the principal employer and his address for statutory compliance, payroll processing, and audit trail under COMPLIANCE &amp; DOCUMENTATION module.</t>
  </si>
  <si>
    <t>Enter Name of the principal employer and his address. Enter exact value as per official document.</t>
  </si>
  <si>
    <t>Captures Total No. of workmen directly employed. for statutory compliance, payroll processing, and audit trail under COMPLIANCE &amp; DOCUMENTATION module.</t>
  </si>
  <si>
    <t>Enter Total No. of workmen directly employed.. Optional; fill if applicable.</t>
  </si>
  <si>
    <t>Captures Nature of work in which contract labour is employment or is to be employed for statutory compliance, payroll processing, and audit trail under COMPLIANCE &amp; DOCUMENTATION module.</t>
  </si>
  <si>
    <t>Enter Nature of work in which contract labour is employment or is to be employed. Optional; fill if applicable.</t>
  </si>
  <si>
    <t>Captures Probable duration of employment of contract labour for statutory compliance, payroll processing, and audit trail under COMPLIANCE &amp; DOCUMENTATION module.</t>
  </si>
  <si>
    <t>Enter Probable duration of employment of contract labour. Optional; fill if applicable.</t>
  </si>
  <si>
    <t>Captures Amount of previous security deposit for statutory compliance, payroll processing, and audit trail under COMPLIANCE &amp; DOCUMENTATION module.</t>
  </si>
  <si>
    <t>Enter Amount of previous security deposit. Optional; fill if applicable.</t>
  </si>
  <si>
    <t>Captures Name and Address of the establishment for statutory compliance, payroll processing, and audit trail under COMPLIANCE &amp; DOCUMENTATION module.</t>
  </si>
  <si>
    <t>Enter Name and Address of the establishment. Enter exact value as per official document.</t>
  </si>
  <si>
    <t>Captures Signature or thumb impression of workmen for statutory compliance, payroll processing, and audit trail under COMPLIANCE &amp; DOCUMENTATION module.</t>
  </si>
  <si>
    <t>Enter Signature or thumb impression of workmen. Optional; fill if applicable.</t>
  </si>
  <si>
    <t>Captures Reasons for termination for statutory compliance, payroll processing, and audit trail under COMPLIANCE &amp; DOCUMENTATION module.</t>
  </si>
  <si>
    <t>Enter Reasons for termination. Optional; fill if applicable.</t>
  </si>
  <si>
    <t>Captures Nature of work done for statutory compliance, payroll processing, and audit trail under COMPLIANCE &amp; DOCUMENTATION module.</t>
  </si>
  <si>
    <t>Enter Nature of work done. Optional; fill if applicable.</t>
  </si>
  <si>
    <t>Captures Name of workman for statutory compliance, payroll processing, and audit trail under COMPLIANCE &amp; DOCUMENTATION module.</t>
  </si>
  <si>
    <t>Enter Name of workman. Enter exact value as per official document.</t>
  </si>
  <si>
    <t>Captures Other cash payments (nature of payments to be indicated) for statutory compliance, payroll processing, and audit trail under COMPLIANCE &amp; DOCUMENTATION module.</t>
  </si>
  <si>
    <t>Enter Other cash payments (nature of payments to be indicated). Optional; fill if applicable.</t>
  </si>
  <si>
    <t>Captures Deduc- tions  if any (indicate nature) for statutory compliance, payroll processing, and audit trail under COMPLIANCE &amp; DOCUMENTATION module.</t>
  </si>
  <si>
    <t>Enter Deduc- tions  if any (indicate nature). Optional; fill if applicable.</t>
  </si>
  <si>
    <t>Captures Sign- ature /thumb impress- sion of work- man for statutory compliance, payroll processing, and audit trail under COMPLIANCE &amp; DOCUMENTATION module.</t>
  </si>
  <si>
    <t>Enter Sign- ature /thumb impress- sion of work- man. Optional; fill if applicable.</t>
  </si>
  <si>
    <t>Captures Initials of con- Tractor or the repre- native for statutory compliance, payroll processing, and audit trail under COMPLIANCE &amp; DOCUMENTATION module.</t>
  </si>
  <si>
    <t>Enter Initials of con- Tractor or the repre- native. Optional; fill if applicable.</t>
  </si>
  <si>
    <t>Captures Whether workmen showed cause against deduction for statutory compliance, payroll processing, and audit trail under COMPLIANCE &amp; DOCUMENTATION module.</t>
  </si>
  <si>
    <t>Enter Whether workmen showed cause against deduction. Optional; fill if applicable.</t>
  </si>
  <si>
    <t>Captures Name of person in whose presence employee’s explanation was heard for statutory compliance, payroll processing, and audit trail under COMPLIANCE &amp; DOCUMENTATION module.</t>
  </si>
  <si>
    <t>Enter Name of person in whose presence employee’s explanation was heard. Enter exact value as per official document.</t>
  </si>
  <si>
    <t>Captures Amount deduction imposed for statutory compliance, payroll processing, and audit trail under COMPLIANCE &amp; DOCUMENTATION module.</t>
  </si>
  <si>
    <t>Enter Amount deduction imposed. Optional; fill if applicable.</t>
  </si>
  <si>
    <t>Captures No. of installments for statutory compliance, payroll processing, and audit trail under COMPLIANCE &amp; DOCUMENTATION module.</t>
  </si>
  <si>
    <t>Enter No. of installments. Optional; fill if applicable.</t>
  </si>
  <si>
    <t>Captures Wage period and Wages payable for statutory compliance, payroll processing, and audit trail under COMPLIANCE &amp; DOCUMENTATION module.</t>
  </si>
  <si>
    <t>Enter Wage period and Wages payable. Optional; fill if applicable.</t>
  </si>
  <si>
    <t>Captures Purpose(s) for which advance made for statutory compliance, payroll processing, and audit trail under COMPLIANCE &amp; DOCUMENTATION module.</t>
  </si>
  <si>
    <t>Enter Purpose(s) for which advance made. Optional; fill if applicable.</t>
  </si>
  <si>
    <t>Captures PT for statutory compliance, payroll processing, and audit trail under COMPLIANCE &amp; DOCUMENTATION module.</t>
  </si>
  <si>
    <t>Enter PT. Optional; fill if applicable.</t>
  </si>
  <si>
    <t>Captures LWF for statutory compliance, payroll processing, and audit trail under COMPLIANCE &amp; DOCUMENTATION module.</t>
  </si>
  <si>
    <t>Enter LWF. Optional; fill if applicable.</t>
  </si>
  <si>
    <t>Captures NFH for statutory compliance, payroll processing, and audit trail under COMPLIANCE &amp; DOCUMENTATION module.</t>
  </si>
  <si>
    <t>Enter NFH. Optional; fill if applicable.</t>
  </si>
  <si>
    <t>Captures Working hours From To for statutory compliance, payroll processing, and audit trail under COMPLIANCE &amp; DOCUMENTATION module.</t>
  </si>
  <si>
    <t>Enter Working hours From To. Optional; fill if applicable.</t>
  </si>
  <si>
    <t>Captures Intervals for rest or meal From To for statutory compliance, payroll processing, and audit trail under COMPLIANCE &amp; DOCUMENTATION module.</t>
  </si>
  <si>
    <t>Enter Intervals for rest or meal From To. Optional; fill if applicable.</t>
  </si>
  <si>
    <t>Captures LWF payment monthly/half yearly / yearly for statutory compliance, payroll processing, and audit trail under COMPLIANCE &amp; DOCUMENTATION module.</t>
  </si>
  <si>
    <t>Enter LWF payment monthly/half yearly / yearly. Optional; fill if applicable.</t>
  </si>
  <si>
    <t>Captures Father’s Aadhaar card for statutory compliance, payroll processing, and audit trail under COMPLIANCE &amp; DOCUMENTATION module.</t>
  </si>
  <si>
    <t>Enter Father’s Aadhaar card. Validate against Aadhaar database.</t>
  </si>
  <si>
    <t>Captures Father’s PAN for statutory compliance, payroll processing, and audit trail under COMPLIANCE &amp; DOCUMENTATION module.</t>
  </si>
  <si>
    <t>Enter Father’s PAN. Enter exact value as per official document.</t>
  </si>
  <si>
    <t>Captures Father’s Higher Education for statutory compliance, payroll processing, and audit trail under COMPLIANCE &amp; DOCUMENTATION module.</t>
  </si>
  <si>
    <t>Enter Father’s Higher Education. Optional; fill if applicable.</t>
  </si>
  <si>
    <t>Captures Father’s E-mail ID for statutory compliance, payroll processing, and audit trail under COMPLIANCE &amp; DOCUMENTATION module.</t>
  </si>
  <si>
    <t>Enter Father’s E-mail ID. Optional; fill if applicable.</t>
  </si>
  <si>
    <t>Captures Mother’s Aadhaar card for statutory compliance, payroll processing, and audit trail under COMPLIANCE &amp; DOCUMENTATION module.</t>
  </si>
  <si>
    <t>Enter Mother’s Aadhaar card. Validate against Aadhaar database.</t>
  </si>
  <si>
    <t>Captures Mother’s Higher Education for statutory compliance, payroll processing, and audit trail under COMPLIANCE &amp; DOCUMENTATION module.</t>
  </si>
  <si>
    <t>Enter Mother’s Higher Education. Optional; fill if applicable.</t>
  </si>
  <si>
    <t>Captures Mother’s PAN for statutory compliance, payroll processing, and audit trail under COMPLIANCE &amp; DOCUMENTATION module.</t>
  </si>
  <si>
    <t>Enter Mother’s PAN. Enter exact value as per official document.</t>
  </si>
  <si>
    <t>Captures Mother’s E-mail ID for statutory compliance, payroll processing, and audit trail under COMPLIANCE &amp; DOCUMENTATION module.</t>
  </si>
  <si>
    <t>Enter Mother’s E-mail ID. Optional; fill if applicable.</t>
  </si>
  <si>
    <t>Captures LWF Registration Number for statutory compliance, payroll processing, and audit trail under COMPLIANCE &amp; DOCUMENTATION module.</t>
  </si>
  <si>
    <t>Enter LWF Registration Number. Optional; fill if applicable.</t>
  </si>
  <si>
    <t>Captures LWF Applicability for statutory compliance, payroll processing, and audit trail under COMPLIANCE &amp; DOCUMENTATION module.</t>
  </si>
  <si>
    <t>Enter LWF Applicability. Optional; fill if applicable.</t>
  </si>
  <si>
    <t>Captures Professional Tax Applicability for statutory compliance, payroll processing, and audit trail under COMPLIANCE &amp; DOCUMENTATION module.</t>
  </si>
  <si>
    <t>Enter Professional Tax Applicability. Optional; fill if applicable.</t>
  </si>
  <si>
    <t>Captures PwD Certificate Issuing Authority for statutory compliance, payroll processing, and audit trail under COMPLIANCE &amp; DOCUMENTATION module.</t>
  </si>
  <si>
    <t>Enter PwD Certificate Issuing Authority. Optional; fill if applicable.</t>
  </si>
  <si>
    <t>Captures Mode of Payment for statutory compliance, payroll processing, and audit trail under COMPLIANCE &amp; DOCUMENTATION module.</t>
  </si>
  <si>
    <t>Enter Mode of Payment. Optional; fill if applicable.</t>
  </si>
  <si>
    <t>Captures Nature of Offence for statutory compliance, payroll processing, and audit trail under COMPLIANCE &amp; DOCUMENTATION module.</t>
  </si>
  <si>
    <t>Enter Nature of Offence. Optional; fill if applicable.</t>
  </si>
  <si>
    <t>Captures Wage Period of Fine MW for statutory compliance, payroll processing, and audit trail under COMPLIANCE &amp; DOCUMENTATION module.</t>
  </si>
  <si>
    <t>Enter Wage Period of Fine MW. Optional; fill if applicable.</t>
  </si>
  <si>
    <t>Captures Balance Outstanding for statutory compliance, payroll processing, and audit trail under COMPLIANCE &amp; DOCUMENTATION module.</t>
  </si>
  <si>
    <t>Enter Balance Outstanding. Optional; fill if applicable.</t>
  </si>
  <si>
    <t>Captures Overtime Hours (From – To) for statutory compliance, payroll processing, and audit trail under COMPLIANCE &amp; DOCUMENTATION module.</t>
  </si>
  <si>
    <t>Enter Overtime Hours (From – To). Optional; fill if applicable.</t>
  </si>
  <si>
    <t>Captures Reply Received MW for statutory compliance, payroll processing, and audit trail under COMPLIANCE &amp; DOCUMENTATION module.</t>
  </si>
  <si>
    <t>Enter Reply Received MW. Optional; fill if applicable.</t>
  </si>
  <si>
    <t>Captures Balance Pending (₹) MW recovery for statutory compliance, payroll processing, and audit trail under COMPLIANCE &amp; DOCUMENTATION module.</t>
  </si>
  <si>
    <t>Enter Balance Pending (₹) MW recovery. Optional; fill if applicable.</t>
  </si>
  <si>
    <t>Captures Leave C/F for statutory compliance, payroll processing, and audit trail under COMPLIANCE &amp; DOCUMENTATION module.</t>
  </si>
  <si>
    <t>Enter Leave C/F. Optional; fill if applicable.</t>
  </si>
  <si>
    <t>Captures Total Leave Available for statutory compliance, payroll processing, and audit trail under COMPLIANCE &amp; DOCUMENTATION module.</t>
  </si>
  <si>
    <t>'=openingbalance+entitlement-availed+carryforward</t>
  </si>
  <si>
    <t>Enter Total Leave Available. Optional; fill if applicable.</t>
  </si>
  <si>
    <t>Captures Leave Availed for statutory compliance, payroll processing, and audit trail under COMPLIANCE &amp; DOCUMENTATION module.</t>
  </si>
  <si>
    <t>Enter Leave Availed. Optional; fill if applicable.</t>
  </si>
  <si>
    <t>Captures Overtime Hours Worked for statutory compliance, payroll processing, and audit trail under COMPLIANCE &amp; DOCUMENTATION module.</t>
  </si>
  <si>
    <t>Enter Overtime Hours Worked. Optional; fill if applicable.</t>
  </si>
  <si>
    <t>Captures Name of Injured Person for statutory compliance, payroll processing, and audit trail under COMPLIANCE &amp; DOCUMENTATION module.</t>
  </si>
  <si>
    <t>Enter Name of Injured Person. Enter exact value as per official document.</t>
  </si>
  <si>
    <t>Captures Hospital Admitted (Y/N) for statutory compliance, payroll processing, and audit trail under COMPLIANCE &amp; DOCUMENTATION module.</t>
  </si>
  <si>
    <t>Enter Hospital Admitted (Y/N). Select from approved dropdown list.</t>
  </si>
  <si>
    <t>Captures Factory Incidenct Office of Chief Inspector (Address): for statutory compliance, payroll processing, and audit trail under COMPLIANCE &amp; DOCUMENTATION module.</t>
  </si>
  <si>
    <t>Enter Factory Incidenct Office of Chief Inspector (Address):. Optional; fill if applicable.</t>
  </si>
  <si>
    <t>Captures Category (SC/ST/ OBC/GEN/ PwD) for statutory compliance, payroll processing, and audit trail under COMPLIANCE &amp; DOCUMENTATION module.</t>
  </si>
  <si>
    <t>Enter Category (SC/ST/ OBC/GEN/ PwD). Optional; fill if applicable.</t>
  </si>
  <si>
    <t>Captures Educational Qualification for statutory compliance, payroll processing, and audit trail under COMPLIANCE &amp; DOCUMENTATION module.</t>
  </si>
  <si>
    <t>Enter Educational Qualification. Optional; fill if applicable.</t>
  </si>
  <si>
    <t>Captures Duration of Apprenticeship (Months) for statutory compliance, payroll processing, and audit trail under COMPLIANCE &amp; DOCUMENTATION module.</t>
  </si>
  <si>
    <t>Enter Duration of Apprenticeship (Months). Optional; fill if applicable.</t>
  </si>
  <si>
    <t>Captures MATERNITY Leave Approved By for statutory compliance, payroll processing, and audit trail under COMPLIANCE &amp; DOCUMENTATION module.</t>
  </si>
  <si>
    <t>Enter MATERNITY Leave Approved By. Optional; fill if applicable.</t>
  </si>
  <si>
    <t>Captures Leave Approved By for statutory compliance, payroll processing, and audit trail under COMPLIANCE &amp; DOCUMENTATION module.</t>
  </si>
  <si>
    <t>Enter Leave Approved By. Optional; fill if applicable.</t>
  </si>
  <si>
    <t>Captures MATERNITY Weeks of Leave Entitled for statutory compliance, payroll processing, and audit trail under COMPLIANCE &amp; DOCUMENTATION module.</t>
  </si>
  <si>
    <t>Enter MATERNITY Weeks of Leave Entitled. Optional; fill if applicable.</t>
  </si>
  <si>
    <t>Captures Maternity Medical Bonus (₹) for statutory compliance, payroll processing, and audit trail under COMPLIANCE &amp; DOCUMENTATION module.</t>
  </si>
  <si>
    <t>Enter Maternity Medical Bonus (₹). Optional; fill if applicable.</t>
  </si>
  <si>
    <t>ESI Contribution</t>
  </si>
  <si>
    <t>Captures Employer ESI Registration for statutory compliance, payroll processing, and audit trail under COMPLIANCE &amp; DOCUMENTATION module.</t>
  </si>
  <si>
    <t>Enter Employer ESI Registration. Enter exact value as per official document.</t>
  </si>
  <si>
    <t>Captures Permanent home address of workman (village and tehsil/taluk and district) for statutory compliance, payroll processing, and audit trail under LOCATION INFORMATION module.</t>
  </si>
  <si>
    <t>HR Admin</t>
  </si>
  <si>
    <t>Enter Permanent home address of workman (village and tehsil/taluk and district). Optional; fill if applicable.</t>
  </si>
  <si>
    <t>Captures Local address for statutory compliance, payroll processing, and audit trail under LOCATION INFORMATION module.</t>
  </si>
  <si>
    <t>Enter Local address. Optional; fill if applicable.</t>
  </si>
  <si>
    <t>Captures State for statutory compliance, payroll processing, and audit trail under LOCATION INFORMATION module.</t>
  </si>
  <si>
    <t>Enter State. Optional; fill if applicable.</t>
  </si>
  <si>
    <t>Captures Country for statutory compliance, payroll processing, and audit trail under LOCATION INFORMATION module.</t>
  </si>
  <si>
    <t>Enter Country. Optional; fill if applicable.</t>
  </si>
  <si>
    <t>Org Unit</t>
  </si>
  <si>
    <t>Captures Branch Code for statutory compliance, payroll processing, and audit trail under LOCATION INFORMATION module.</t>
  </si>
  <si>
    <t>Enter Branch Code. Optional; fill if applicable.</t>
  </si>
  <si>
    <t>Captures Region for statutory compliance, payroll processing, and audit trail under LOCATION INFORMATION module.</t>
  </si>
  <si>
    <t>Enter Region. Optional; fill if applicable.</t>
  </si>
  <si>
    <t>Captures ESI Dispensary Name for statutory compliance, payroll processing, and audit trail under LOCATION INFORMATION module.</t>
  </si>
  <si>
    <t>Enter ESI Dispensary Name. Enter exact value as per official document.</t>
  </si>
  <si>
    <t>Captures ESI Dispensary Location for statutory compliance, payroll processing, and audit trail under LOCATION INFORMATION module.</t>
  </si>
  <si>
    <t>Enter ESI Dispensary Location. Enter exact value as per official document.</t>
  </si>
  <si>
    <t>Captures Place / Location of Accident: for statutory compliance, payroll processing, and audit trail under LOCATION INFORMATION module.</t>
  </si>
  <si>
    <t>Enter Place / Location of Accident:. Optional; fill if applicable.</t>
  </si>
  <si>
    <t>Captures Termination Remarks for statutory compliance, payroll processing, and audit trail under OPERATIONAL STATUS module.</t>
  </si>
  <si>
    <t>Enter Termination Remarks. Optional; fill if applicable.</t>
  </si>
  <si>
    <t>Captures ESIC Reason for statutory compliance, payroll processing, and audit trail under OPERATIONAL STATUS module.</t>
  </si>
  <si>
    <t>Enter ESIC Reason. Must match ESIC portal records.</t>
  </si>
  <si>
    <t>Captures Employee Status (Active/Inactive) for statutory compliance, payroll processing, and audit trail under OPERATIONAL STATUS module.</t>
  </si>
  <si>
    <t>Dropdown: Active / Inactive / Resigned / Absconding / Suspended</t>
  </si>
  <si>
    <t>Enter Employee Status (Active/Inactive). Select from approved dropdown list.</t>
  </si>
  <si>
    <t>Captures EPF Exit Reason for statutory compliance, payroll processing, and audit trail under OPERATIONAL STATUS module.</t>
  </si>
  <si>
    <t>Enter EPF Exit Reason. Enter exact value as per official document.</t>
  </si>
  <si>
    <t>Captures Total period for Which employed From for statutory compliance, payroll processing, and audit trail under DATES &amp; TIMELINES module.</t>
  </si>
  <si>
    <t>Enter Total period for Which employed From. Optional; fill if applicable.</t>
  </si>
  <si>
    <t>Captures Total period for Which employed To for statutory compliance, payroll processing, and audit trail under DATES &amp; TIMELINES module.</t>
  </si>
  <si>
    <t>Enter Total period for Which employed To. Optional; fill if applicable.</t>
  </si>
  <si>
    <t>Captures Apprenticeship Period From for statutory compliance, payroll processing, and audit trail under DATES &amp; TIMELINES module.</t>
  </si>
  <si>
    <t>Enter Apprenticeship Period From. Optional; fill if applicable.</t>
  </si>
  <si>
    <t>Captures Apprenticeship Period To for statutory compliance, payroll processing, and audit trail under DATES &amp; TIMELINES module.</t>
  </si>
  <si>
    <t>Enter Apprenticeship Period To. Optional; fill if applicable.</t>
  </si>
  <si>
    <t>Captures MATERNITY Leave from for statutory compliance, payroll processing, and audit trail under DATES &amp; TIMELINES module.</t>
  </si>
  <si>
    <t>Enter MATERNITY Leave from. Optional; fill if applicable.</t>
  </si>
  <si>
    <t>Captures MATERNITY Leave to for statutory compliance, payroll processing, and audit trail under DATES &amp; TIMELINES module.</t>
  </si>
  <si>
    <t>Enter MATERNITY Leave to. Optional; fill if applicable.</t>
  </si>
  <si>
    <t>Captures Incident /Accident Ref. No. for statutory compliance, payroll processing, and audit trail under INCIDENT / ACCIDENT module.</t>
  </si>
  <si>
    <t>Safety Officer / HR</t>
  </si>
  <si>
    <t>Enter Incident /Accident Ref. No.. Optional; fill if applicable.</t>
  </si>
  <si>
    <t>Captures Medical Token No. for statutory compliance, payroll processing, and audit trail under INCIDENT / ACCIDENT module.</t>
  </si>
  <si>
    <t>Enter Medical Token No.. Optional; fill if applicable.</t>
  </si>
  <si>
    <t>Captures Nature of Accident/ Incident for statutory compliance, payroll processing, and audit trail under INCIDENT / ACCIDENT module.</t>
  </si>
  <si>
    <t>Enter Nature of Accident/ Incident. Optional; fill if applicable.</t>
  </si>
  <si>
    <t>Captures Description of Accident / Incident for statutory compliance, payroll processing, and audit trail under INCIDENT / ACCIDENT module.</t>
  </si>
  <si>
    <t>Enter Description of Accident / Incident. Optional; fill if applicable.</t>
  </si>
  <si>
    <t>Captures Body Part Injured for statutory compliance, payroll processing, and audit trail under INCIDENT / ACCIDENT module.</t>
  </si>
  <si>
    <t>Enter Body Part Injured. Optional; fill if applicable.</t>
  </si>
  <si>
    <t>Captures Severity (Minor/Major/ Fatal) for statutory compliance, payroll processing, and audit trail under INCIDENT / ACCIDENT module.</t>
  </si>
  <si>
    <t>Enter Severity (Minor/Major/ Fatal). Optional; fill if applicable.</t>
  </si>
  <si>
    <t>Captures First Aid Given (Y/N) for statutory compliance, payroll processing, and audit trail under INCIDENT / ACCIDENT module.</t>
  </si>
  <si>
    <t>Enter First Aid Given (Y/N). Select from approved dropdown list.</t>
  </si>
  <si>
    <t>Captures Accident/ Incident Compensation Paid (₹) for statutory compliance, payroll processing, and audit trail under INCIDENT / ACCIDENT module.</t>
  </si>
  <si>
    <t>Enter Accident/ Incident Compensation Paid (₹). Optional; fill if applicable.</t>
  </si>
  <si>
    <t>Captures Accident Action Taken / Preventive Measures for statutory compliance, payroll processing, and audit trail under INCIDENT / ACCIDENT module.</t>
  </si>
  <si>
    <t>Enter Accident Action Taken / Preventive Measures. Optional; fill if applicable.</t>
  </si>
  <si>
    <t>Captures Name &amp; Address of Hospital: for statutory compliance, payroll processing, and audit trail under INCIDENT / ACCIDENT module.</t>
  </si>
  <si>
    <t>Enter Name &amp; Address of Hospital:. Enter exact value as per official document.</t>
  </si>
  <si>
    <t>Captures Probable Cause of Accident: for statutory compliance, payroll processing, and audit trail under INCIDENT / ACCIDENT module.</t>
  </si>
  <si>
    <t>Enter Probable Cause of Accident:. Optional; fill if applicable.</t>
  </si>
  <si>
    <t>Captures Witnesses (Names &amp; Tokens): for statutory compliance, payroll processing, and audit trail under INCIDENT / ACCIDENT module.</t>
  </si>
  <si>
    <t>Enter Witnesses (Names &amp; Tokens):. Enter exact value as per official document.</t>
  </si>
  <si>
    <t>Compensation Paid</t>
  </si>
  <si>
    <t>Captures Compensation Applicable (Y/N): for statutory compliance, payroll processing, and audit trail under INCIDENT / ACCIDENT module.</t>
  </si>
  <si>
    <t>Enter Compensation Applicable (Y/N):. Select from approved dropdown list.</t>
  </si>
  <si>
    <t>Captures Accident / Incident register Remarks / Additional Details: for statutory compliance, payroll processing, and audit trail under INCIDENT / ACCIDENT module.</t>
  </si>
  <si>
    <t>Enter Accident / Incident register Remarks / Additional Details:. Optional; fill if applicable.</t>
  </si>
  <si>
    <t>Captures Apprentice (Yes/No) for statutory compliance, payroll processing, and audit trail under APPRENTICESHIP module.</t>
  </si>
  <si>
    <t>Training / HR Dept</t>
  </si>
  <si>
    <t>Enter Apprentice (Yes/No). Select from approved dropdown list.</t>
  </si>
  <si>
    <t>Captures Apprentice Category for statutory compliance, payroll processing, and audit trail under APPRENTICESHIP module.</t>
  </si>
  <si>
    <t>Enter Apprentice Category. Optional; fill if applicable.</t>
  </si>
  <si>
    <t>Captures Apprenticeship Trade / Subject for statutory compliance, payroll processing, and audit trail under APPRENTICESHIP module.</t>
  </si>
  <si>
    <t>Enter Apprenticeship Trade / Subject. Optional; fill if applicable.</t>
  </si>
  <si>
    <t>Captures Creche Entitlement Flag (Yes/No) for statutory compliance, payroll processing, and audit trail under APPRENTICESHIP module.</t>
  </si>
  <si>
    <t>Enter Creche Entitlement Flag (Yes/No). Select from approved dropdown list.</t>
  </si>
  <si>
    <t>Captures Apprentices Act, 1961 Remarks for statutory compliance, payroll processing, and audit trail under APPRENTICESHIP module.</t>
  </si>
  <si>
    <t>Enter Apprentices Act, 1961 Remarks. Optional; fill if applicable.</t>
  </si>
  <si>
    <t>Captures Apprentices Act, 1961 Leave Type (SL/EL/CL) for statutory compliance, payroll processing, and audit trail under APPRENTICESHIP module.</t>
  </si>
  <si>
    <t>Enter Apprentices Act, 1961 Leave Type (SL/EL/CL). Optional; fill if applicable.</t>
  </si>
  <si>
    <t>Captures Apprentices Act, 1961  Contract No. for statutory compliance, payroll processing, and audit trail under APPRENTICESHIP module.</t>
  </si>
  <si>
    <t>Enter Apprentices Act, 1961  Contract No.. Optional; fill if applicable.</t>
  </si>
  <si>
    <t>Captures Apprentices Act Contract Registered With BOAT (Y/N) for statutory compliance, payroll processing, and audit trail under APPRENTICESHIP module.</t>
  </si>
  <si>
    <t>Enter Apprentices Act Contract Registered With BOAT (Y/N). Select from approved dropdown list.</t>
  </si>
  <si>
    <t>Captures Apprentices Act Contract Status (Active/ Completed/ Terminated) for statutory compliance, payroll processing, and audit trail under APPRENTICESHIP module.</t>
  </si>
  <si>
    <t>Enter Apprentices Act Contract Status (Active/ Completed/ Terminated). Select from approved dropdown list.</t>
  </si>
  <si>
    <t>Captures Apprentices Contract Register Remarks for statutory compliance, payroll processing, and audit trail under APPRENTICESHIP module.</t>
  </si>
  <si>
    <t>Enter Apprentices Contract Register Remarks. Optional; fill if applicable.</t>
  </si>
  <si>
    <t>Stipend</t>
  </si>
  <si>
    <t>Captures Stipend Register Remarks for statutory compliance, payroll processing, and audit trail under APPRENTICESHIP module.</t>
  </si>
  <si>
    <t>Enter Stipend Register Remarks. Optional; fill if applicable.</t>
  </si>
  <si>
    <t>Captures Maternity Benefit Availed (Yes/No) for statutory compliance, payroll processing, and audit trail under MATERNITY BENEFITS module.</t>
  </si>
  <si>
    <t>HR / Employee</t>
  </si>
  <si>
    <t>Enter Maternity Benefit Availed (Yes/No). Select from approved dropdown list.</t>
  </si>
  <si>
    <t>Captures Maternity Benefit Eligibility for statutory compliance, payroll processing, and audit trail under MATERNITY BENEFITS module.</t>
  </si>
  <si>
    <t>Enter Maternity Benefit Eligibility. Optional; fill if applicable.</t>
  </si>
  <si>
    <t>Captures Maternity Leave Type (26 Wks / 12 Wks / Adoption / Commissioning) for statutory compliance, payroll processing, and audit trail under MATERNITY BENEFITS module.</t>
  </si>
  <si>
    <t>Enter Maternity Leave Type (26 Wks / 12 Wks / Adoption / Commissioning). Optional; fill if applicable.</t>
  </si>
  <si>
    <t>Captures MATERNITY Pre-natal Leave (Weeks) for statutory compliance, payroll processing, and audit trail under MATERNITY BENEFITS module.</t>
  </si>
  <si>
    <t>Enter MATERNITY Pre-natal Leave (Weeks). Optional; fill if applicable.</t>
  </si>
  <si>
    <t>Captures MATERNITY Post-natal Leave (Weeks) for statutory compliance, payroll processing, and audit trail under MATERNITY BENEFITS module.</t>
  </si>
  <si>
    <t>Enter MATERNITY Post-natal Leave (Weeks). Optional; fill if applicable.</t>
  </si>
  <si>
    <t>Captures MATERNITY Certificate No. for statutory compliance, payroll processing, and audit trail under MATERNITY BENEFITS module.</t>
  </si>
  <si>
    <t>Enter MATERNITY Certificate No.. Optional; fill if applicable.</t>
  </si>
  <si>
    <t>Captures MATERNITY Remarks for statutory compliance, payroll processing, and audit trail under MATERNITY BENEFITS module.</t>
  </si>
  <si>
    <t>Enter MATERNITY Remarks. Optional; fill if applicable.</t>
  </si>
  <si>
    <t>Captures Remarks for statutory compliance, payroll processing, and audit trail under SYSTEM / METADATA module.</t>
  </si>
  <si>
    <t>System Auto-generated</t>
  </si>
  <si>
    <t>Enter Remarks. Optional; fill if applicable.</t>
  </si>
  <si>
    <t>Captures Employment Card remarks for statutory compliance, payroll processing, and audit trail under SYSTEM / METADATA module.</t>
  </si>
  <si>
    <t>Enter Employment Card remarks. Optional; fill if applicable.</t>
  </si>
  <si>
    <t>Captures Unnamed: 169 for statutory compliance, payroll processing, and audit trail under SYSTEM / METADATA module.</t>
  </si>
  <si>
    <t>Enter Unnamed: 169. Enter exact value as per official document.</t>
  </si>
  <si>
    <t>Captures Unnamed: 170 for statutory compliance, payroll processing, and audit trail under SYSTEM / METADATA module.</t>
  </si>
  <si>
    <t>Enter Unnamed: 170. Enter exact value as per official document.</t>
  </si>
  <si>
    <t>Captures Unnamed: 172 for statutory compliance, payroll processing, and audit trail under SYSTEM / METADATA module.</t>
  </si>
  <si>
    <t>Enter Unnamed: 172. Enter exact value as per official document.</t>
  </si>
  <si>
    <t>Captures Internal Remarks for statutory compliance, payroll processing, and audit trail under SYSTEM / METADATA module.</t>
  </si>
  <si>
    <t>Enter Internal Remarks. Optional; fill if applicable.</t>
  </si>
  <si>
    <t>Captures MW Act Remarks for statutory compliance, payroll processing, and audit trail under SYSTEM / METADATA module.</t>
  </si>
  <si>
    <t>Enter MW Act Remarks. Optional; fill if applicable.</t>
  </si>
  <si>
    <t>Captures Form 11  Register of Adult Workers Remarks for statutory compliance, payroll processing, and audit trail under SYSTEM / METADATA module.</t>
  </si>
  <si>
    <t>Enter Form 11  Register of Adult Workers Remarks. Optional; fill if applicable.</t>
  </si>
  <si>
    <t>Captures Maternity Benefit Register Remarks for statutory compliance, payroll processing, and audit trail under SYSTEM / METADATA module.</t>
  </si>
  <si>
    <t>Enter Maternity Benefit Register Remarks. Optional; fill if applicable.</t>
  </si>
  <si>
    <t>Captures ISMW remarks for statutory compliance, payroll processing, and audit trail under SYSTEM / METADATA module.</t>
  </si>
  <si>
    <t>Enter ISMW remarks. Optional; fill if applicable.</t>
  </si>
  <si>
    <t>Captures FORM XV (See rule 77) Service Certificate Remark for statutory compliance, payroll processing, and audit trail under STATUTORY REGISTERS module.</t>
  </si>
  <si>
    <t>Compliance / Legal Team</t>
  </si>
  <si>
    <t>Enter FORM XV (See rule 77) Service Certificate Remark. Optional; fill if applicable.</t>
  </si>
  <si>
    <t>Captures FORM XXIII 1[See rule 78 (1)(a)(iii)] Register of overtime Remarks for statutory compliance, payroll processing, and audit trail under STATUTORY REGISTERS module.</t>
  </si>
  <si>
    <t>Enter FORM XXIII 1[See rule 78 (1)(a)(iii)] Register of overtime Remarks. Optional; fill if applicable.</t>
  </si>
  <si>
    <t>Captures [FORM V-A [See rule 24 (1-A)] Remarks for statutory compliance, payroll processing, and audit trail under STATUTORY REGISTERS module.</t>
  </si>
  <si>
    <t>Enter [FORM V-A [See rule 24 (1-A)] Remarks. Optional; fill if applicable.</t>
  </si>
  <si>
    <t>Captures Form 11 FA Remarks for statutory compliance, payroll processing, and audit trail under STATUTORY REGISTERS module.</t>
  </si>
  <si>
    <t>Enter Form 11 FA Remarks. Optional; fill if applicable.</t>
  </si>
  <si>
    <t>Field Name</t>
  </si>
  <si>
    <t>Section</t>
  </si>
  <si>
    <t>Applicable Act</t>
  </si>
  <si>
    <t>Applicable Form / Register</t>
  </si>
  <si>
    <t>Register Name</t>
  </si>
  <si>
    <t>Frequency of Update</t>
  </si>
  <si>
    <t>Filed With Authority</t>
  </si>
  <si>
    <t>Retention Period (Years)</t>
  </si>
  <si>
    <t>Impact if Missing</t>
  </si>
  <si>
    <t>Cross-Reference Fields</t>
  </si>
  <si>
    <t>Digital Filing Available</t>
  </si>
  <si>
    <t>1. PRIMARY IDENTIFICATION</t>
  </si>
  <si>
    <t>Form XIII</t>
  </si>
  <si>
    <t>Register of Workmen</t>
  </si>
  <si>
    <t>On Joining</t>
  </si>
  <si>
    <t>Labour Dept / Principal Employer</t>
  </si>
  <si>
    <t>Non-compliance: ₹1000-5000 fine</t>
  </si>
  <si>
    <t>Employee Code, Name</t>
  </si>
  <si>
    <t>CLRA Act 1970 / EPF / ESI</t>
  </si>
  <si>
    <t>Form XIII / ECR</t>
  </si>
  <si>
    <t>EPFO / ESIC</t>
  </si>
  <si>
    <t>Cannot file PF/ESI without this</t>
  </si>
  <si>
    <t>UAN, ESIC IP</t>
  </si>
  <si>
    <t>EPF &amp; MP Act 1952</t>
  </si>
  <si>
    <t>Form 5 / ECR / UAN</t>
  </si>
  <si>
    <t>PF Register</t>
  </si>
  <si>
    <t>Monthly</t>
  </si>
  <si>
    <t>EPFO</t>
  </si>
  <si>
    <t>PF ECR filing fails</t>
  </si>
  <si>
    <t>PAN, Aadhaar, DOJ, Basic Wage</t>
  </si>
  <si>
    <t>Yes - EPFO Portal</t>
  </si>
  <si>
    <t>ESI Act 1948</t>
  </si>
  <si>
    <t>Form 1 / Form 1A</t>
  </si>
  <si>
    <t>ESIC Corporation</t>
  </si>
  <si>
    <t>ESIC benefits denied to employee</t>
  </si>
  <si>
    <t>Aadhaar, Family Details</t>
  </si>
  <si>
    <t>Yes - ESIC Portal</t>
  </si>
  <si>
    <t>4. FAMILY / NOMINEE</t>
  </si>
  <si>
    <t>EPF / ESIC / PAN / Aadhaar Act</t>
  </si>
  <si>
    <t>UAN KYC / Form 1</t>
  </si>
  <si>
    <t>KYC Register</t>
  </si>
  <si>
    <t>On Joining (once)</t>
  </si>
  <si>
    <t>EPFO / UIDAI</t>
  </si>
  <si>
    <t>KYC incomplete; PF/ESI filing blocked</t>
  </si>
  <si>
    <t>UAN, ESIC IP, PAN</t>
  </si>
  <si>
    <t>Income Tax Act 1961 / EPF</t>
  </si>
  <si>
    <t>Form 16 / UAN KYC</t>
  </si>
  <si>
    <t>Tax Register</t>
  </si>
  <si>
    <t>Income Tax Dept / EPFO</t>
  </si>
  <si>
    <t>TDS cannot be deducted; PF KYC fails</t>
  </si>
  <si>
    <t>Aadhaar, UAN</t>
  </si>
  <si>
    <t>Registration No.  and date</t>
  </si>
  <si>
    <t>Form I</t>
  </si>
  <si>
    <t>Contractor Registration Register</t>
  </si>
  <si>
    <t>On New Contract</t>
  </si>
  <si>
    <t>Labour Dept</t>
  </si>
  <si>
    <t>Contract labour illegal</t>
  </si>
  <si>
    <t>Licence No., Principal Employer</t>
  </si>
  <si>
    <t>Form IV / Form V</t>
  </si>
  <si>
    <t>Licence Register</t>
  </si>
  <si>
    <t>Annual Renewal</t>
  </si>
  <si>
    <t>Operations illegal; ₹500-2000 fine/day</t>
  </si>
  <si>
    <t>Registration No., Validity Dates</t>
  </si>
  <si>
    <t>12. APPRENTICESHIP</t>
  </si>
  <si>
    <t>BOAT Registration Form</t>
  </si>
  <si>
    <t>Apprentice Register</t>
  </si>
  <si>
    <t>On Engagement</t>
  </si>
  <si>
    <t>BOAT / DGET</t>
  </si>
  <si>
    <t>Apprentice engagement invalid</t>
  </si>
  <si>
    <t>NAPS/NATS No., Contract No.</t>
  </si>
  <si>
    <t>Yes - BOAT Portal</t>
  </si>
  <si>
    <t>NAPS/NATS Portal</t>
  </si>
  <si>
    <t>MSDE / BOAT</t>
  </si>
  <si>
    <t>Stipend subsidy not released</t>
  </si>
  <si>
    <t>Apprenticeship Reg No.</t>
  </si>
  <si>
    <t>Basic  wages</t>
  </si>
  <si>
    <t>6. PAYROLL &amp; FINANCIAL</t>
  </si>
  <si>
    <t>Minimum Wages Act 1948 / Payment of Wages Act 1936</t>
  </si>
  <si>
    <t>Form I (Min Wages) / Form XVII</t>
  </si>
  <si>
    <t>Register of Wages / Muster Roll</t>
  </si>
  <si>
    <t>Minimum wage violation: ₹500/worker</t>
  </si>
  <si>
    <t>DA, Gross, Net, PF, ESI</t>
  </si>
  <si>
    <t>Dearness  allowa-  nces</t>
  </si>
  <si>
    <t>Form I / Form XVII</t>
  </si>
  <si>
    <t>Register of Wages</t>
  </si>
  <si>
    <t>Minimum wage non-compliance</t>
  </si>
  <si>
    <t>Basic, Gross Salary</t>
  </si>
  <si>
    <t>Payment of Wages Act 1936</t>
  </si>
  <si>
    <t>Form XVII</t>
  </si>
  <si>
    <t>Wage payment violation</t>
  </si>
  <si>
    <t>Gross, Deductions, Bank Details</t>
  </si>
  <si>
    <t>Bank / Labour Dept</t>
  </si>
  <si>
    <t>Cannot transfer wages electronically</t>
  </si>
  <si>
    <t>IFSC Code, Bank Name</t>
  </si>
  <si>
    <t>Yes - Banking</t>
  </si>
  <si>
    <t>Bank</t>
  </si>
  <si>
    <t>Wage transfer fails</t>
  </si>
  <si>
    <t>Bank Account No.</t>
  </si>
  <si>
    <t>5. LEAVE &amp; ATTENDANCE</t>
  </si>
  <si>
    <t>CLRA Act 1970 / Factories Act 1948</t>
  </si>
  <si>
    <t>Form XVI / Muster Roll</t>
  </si>
  <si>
    <t>Muster Roll</t>
  </si>
  <si>
    <t>Daily</t>
  </si>
  <si>
    <t>Principal Employer</t>
  </si>
  <si>
    <t>Non-compliance: Muster Roll violation</t>
  </si>
  <si>
    <t>Attendance Days 1-31</t>
  </si>
  <si>
    <t>Minimum Wages Act 1948 / Payment of Wages Act</t>
  </si>
  <si>
    <t>Form XVI / Form XVII</t>
  </si>
  <si>
    <t>Muster Roll / Wage Register</t>
  </si>
  <si>
    <t>Wage calculation wrong</t>
  </si>
  <si>
    <t>Absent, OT Days, Payable Days</t>
  </si>
  <si>
    <t>Wage deduction error</t>
  </si>
  <si>
    <t>Present Days, LWP</t>
  </si>
  <si>
    <t>Factories Act 1948 / Minimum Wages Act</t>
  </si>
  <si>
    <t>Form XXIII / Form XVII</t>
  </si>
  <si>
    <t>OT Register / Wage Register</t>
  </si>
  <si>
    <t>Labour Dept / Factory Inspector</t>
  </si>
  <si>
    <t>Overtime violation: ₹35-70/worker</t>
  </si>
  <si>
    <t>OT Hours, Basic Rate, OT Rate</t>
  </si>
  <si>
    <t>Total overtime  worked per hour</t>
  </si>
  <si>
    <t>Factories Act 1948 s.59</t>
  </si>
  <si>
    <t>Form XXIII</t>
  </si>
  <si>
    <t>Register of Overtime</t>
  </si>
  <si>
    <t>Factory Inspector / Labour Dept</t>
  </si>
  <si>
    <t>Excessive OT violation</t>
  </si>
  <si>
    <t>OT Days, Normal Hours, OT Rate</t>
  </si>
  <si>
    <t>ECR / Form 3A / Form 6A</t>
  </si>
  <si>
    <t>Monthly by 15th</t>
  </si>
  <si>
    <t>PF default: 12% interest + damages</t>
  </si>
  <si>
    <t>Basic Wage, UAN, Employee PF</t>
  </si>
  <si>
    <t>Yes - EPFO</t>
  </si>
  <si>
    <t>ECR / Form 3A</t>
  </si>
  <si>
    <t>PF violation; employee loss of benefit</t>
  </si>
  <si>
    <t>Basic Wage, UAN, Employer PF</t>
  </si>
  <si>
    <t>EPF &amp; MP Act 1952 s.6A</t>
  </si>
  <si>
    <t>ECR / Form 10D</t>
  </si>
  <si>
    <t>EPS Register</t>
  </si>
  <si>
    <t>EPS default; pension denied</t>
  </si>
  <si>
    <t>Basic Wage (max 15000), UAN</t>
  </si>
  <si>
    <t>EPF &amp; MP Act 1952 s.6C</t>
  </si>
  <si>
    <t>EDLI Contribution</t>
  </si>
  <si>
    <t>EDLI Register</t>
  </si>
  <si>
    <t>Insurance cover lapse</t>
  </si>
  <si>
    <t>Basic Wage, UAN</t>
  </si>
  <si>
    <t>ECR</t>
  </si>
  <si>
    <t>PF ECR mismatch</t>
  </si>
  <si>
    <t>EPF Wages, UAN, TRRN</t>
  </si>
  <si>
    <t>ESI Act 1948 s.40</t>
  </si>
  <si>
    <t>ESIC Monthly Contribution / Form 6</t>
  </si>
  <si>
    <t>ESIC Register</t>
  </si>
  <si>
    <t>Half-yearly filing / Monthly remittance</t>
  </si>
  <si>
    <t>ESI default: 12% interest</t>
  </si>
  <si>
    <t>Gross Salary, IP Number</t>
  </si>
  <si>
    <t>Yes - ESIC</t>
  </si>
  <si>
    <t>ESIC Form 6 / ECR</t>
  </si>
  <si>
    <t>ESIC</t>
  </si>
  <si>
    <t>ESI benefit not available to employee</t>
  </si>
  <si>
    <t>Bonus Register (Form A/B/C)</t>
  </si>
  <si>
    <t>Annual (within 8 months of FY end)</t>
  </si>
  <si>
    <t>Bonus Act violation: ₹1000 fine + imprisonment</t>
  </si>
  <si>
    <t>Gross Salary, Attendance Days, Allocable Surplus</t>
  </si>
  <si>
    <t>Form A / Form B / Form C</t>
  </si>
  <si>
    <t>Annual</t>
  </si>
  <si>
    <t>Incorrect bonus = statutory violation</t>
  </si>
  <si>
    <t>Basic, DA, Days Worked</t>
  </si>
  <si>
    <t>Form L / Form M</t>
  </si>
  <si>
    <t>Mandatory (on exit after 5 yrs)</t>
  </si>
  <si>
    <t>On Exit</t>
  </si>
  <si>
    <t>Controlling Authority</t>
  </si>
  <si>
    <t>Gratuity denial: imprisonment up to 2 years</t>
  </si>
  <si>
    <t>DOJ, Last Working Day, Basic+DA</t>
  </si>
  <si>
    <t>Form F (Nomination)</t>
  </si>
  <si>
    <t>Gratuity Nominee Register</t>
  </si>
  <si>
    <t>Gratuity disbursement problem on death</t>
  </si>
  <si>
    <t>Employee Code, DOB</t>
  </si>
  <si>
    <t>Factories Act 1948 s.79 / Shops Act</t>
  </si>
  <si>
    <t>Form 15 FA</t>
  </si>
  <si>
    <t>Leave Register</t>
  </si>
  <si>
    <t>Annual / Monthly</t>
  </si>
  <si>
    <t>Leave denial violation</t>
  </si>
  <si>
    <t>Days Worked Prev Year, Leave Availed</t>
  </si>
  <si>
    <t>Leave  Entitlement  (Days)</t>
  </si>
  <si>
    <t>Leave entitlement non-compliance</t>
  </si>
  <si>
    <t>Days Worked Prev Year (1/20 of days)</t>
  </si>
  <si>
    <t>Wage Register</t>
  </si>
  <si>
    <t>Incorrect wage deduction</t>
  </si>
  <si>
    <t>Payable Days, Net Salary</t>
  </si>
  <si>
    <t>Amount of fine  imposed</t>
  </si>
  <si>
    <t>Payment of Wages Act 1936 s.8</t>
  </si>
  <si>
    <t>Form XXI</t>
  </si>
  <si>
    <t>Register of Fines</t>
  </si>
  <si>
    <t>As applicable</t>
  </si>
  <si>
    <t>Illegal deduction violation</t>
  </si>
  <si>
    <t>Date of Offence, Wage Period</t>
  </si>
  <si>
    <t>Date and  amount of  advance  given</t>
  </si>
  <si>
    <t>Payment of Wages Act 1936 s.12</t>
  </si>
  <si>
    <t>Form XXII</t>
  </si>
  <si>
    <t>Register of Advances</t>
  </si>
  <si>
    <t>Advance tracking non-compliance</t>
  </si>
  <si>
    <t>Installments, Recovery Date</t>
  </si>
  <si>
    <t>Particulars  of damage or  loss</t>
  </si>
  <si>
    <t>Payment of Wages Act 1936 s.10</t>
  </si>
  <si>
    <t>Form XX</t>
  </si>
  <si>
    <t>Register of Deductions</t>
  </si>
  <si>
    <t>Amount, Recovery Date</t>
  </si>
  <si>
    <t>Labour Welfare Fund Act (State-wise)</t>
  </si>
  <si>
    <t>LWF Return</t>
  </si>
  <si>
    <t>LWF Register</t>
  </si>
  <si>
    <t>Half-yearly / Annual (state-wise)</t>
  </si>
  <si>
    <t>Labour Welfare Board</t>
  </si>
  <si>
    <t>LWF violation: penalty + interest</t>
  </si>
  <si>
    <t>Gross Salary, Employee LWF</t>
  </si>
  <si>
    <t>Yes - State Portal</t>
  </si>
  <si>
    <t>PT Return</t>
  </si>
  <si>
    <t>PT Register</t>
  </si>
  <si>
    <t>Monthly / Annual (state-wise)</t>
  </si>
  <si>
    <t>State Revenue Dept</t>
  </si>
  <si>
    <t>PT default: 1.5% interest/month</t>
  </si>
  <si>
    <t>Gross Salary, State</t>
  </si>
  <si>
    <t>13. MATERNITY BENEFITS</t>
  </si>
  <si>
    <t>Form A / Form B</t>
  </si>
  <si>
    <t>On Application</t>
  </si>
  <si>
    <t>Inspector / ESI</t>
  </si>
  <si>
    <t>Maternity denial: ₹5000 fine + imprisonment</t>
  </si>
  <si>
    <t>Gender, Days, Daily Wage</t>
  </si>
  <si>
    <t>MATERNITY  Daily Wage  (₹)</t>
  </si>
  <si>
    <t>Maternity Benefit Act 1961 s.5</t>
  </si>
  <si>
    <t>Form D</t>
  </si>
  <si>
    <t>On Claim</t>
  </si>
  <si>
    <t>Inspector</t>
  </si>
  <si>
    <t>Wrong benefit calculation</t>
  </si>
  <si>
    <t>Gross Salary, Leave Days</t>
  </si>
  <si>
    <t>Total  Maternity  Benefit (₹)</t>
  </si>
  <si>
    <t>Benefit underpayment violation</t>
  </si>
  <si>
    <t>Daily Wage × Leave Days</t>
  </si>
  <si>
    <t>BOAT Contract Form</t>
  </si>
  <si>
    <t>BOAT / DGET / MSDE</t>
  </si>
  <si>
    <t>Invalid apprenticeship</t>
  </si>
  <si>
    <t>Contract No., Trade, Stipend</t>
  </si>
  <si>
    <t>Apprentices Act 1961 s.13</t>
  </si>
  <si>
    <t>BOAT / NAPS Stipend Claim</t>
  </si>
  <si>
    <t>Stipend Register</t>
  </si>
  <si>
    <t>Stipend non-payment violation</t>
  </si>
  <si>
    <t>Apprentice Category, Trade, Attendance</t>
  </si>
  <si>
    <t>Incident /Accident  Ref. No.</t>
  </si>
  <si>
    <t>11. INCIDENT / ACCIDENT</t>
  </si>
  <si>
    <t>Factories Act 1948 s.88 / BOCW Act 1996</t>
  </si>
  <si>
    <t>Form 16 (Factories) / Form 22 BOCW</t>
  </si>
  <si>
    <t>Accident Register</t>
  </si>
  <si>
    <t>Immediately on occurrence</t>
  </si>
  <si>
    <t>Chief Inspector of Factories</t>
  </si>
  <si>
    <t>Non-reporting: criminal prosecution</t>
  </si>
  <si>
    <t>Date, Nature, Injury Details</t>
  </si>
  <si>
    <t>Days Lost  (LTI) / Estimated Days of Absence:</t>
  </si>
  <si>
    <t>Factories Act 1948 / Workmen Compensation Act</t>
  </si>
  <si>
    <t>Form 16 / Form D (WC)</t>
  </si>
  <si>
    <t>Accident Register / WC Register</t>
  </si>
  <si>
    <t>Post accident</t>
  </si>
  <si>
    <t>Inspector / WC Commissioner</t>
  </si>
  <si>
    <t>Compensation underpayment</t>
  </si>
  <si>
    <t>Accident Date, LWD</t>
  </si>
  <si>
    <t>7. COMPLIANCE &amp; DOCUMENTATION</t>
  </si>
  <si>
    <t>Industrial Employment (Standing Orders) Act 1946</t>
  </si>
  <si>
    <t>Employment Document</t>
  </si>
  <si>
    <t>Document Register</t>
  </si>
  <si>
    <t>HR Dept</t>
  </si>
  <si>
    <t>Illegal employment violation</t>
  </si>
  <si>
    <t>Appointment Letter, DOJ</t>
  </si>
  <si>
    <t>Form 11</t>
  </si>
  <si>
    <t>PF Enrollment Register</t>
  </si>
  <si>
    <t>Within 1 month of joining</t>
  </si>
  <si>
    <t>PF enrollment delayed: penalty</t>
  </si>
  <si>
    <t>UAN, Aadhaar, DOJ</t>
  </si>
  <si>
    <t>Form 1</t>
  </si>
  <si>
    <t>ESIC Enrollment Register</t>
  </si>
  <si>
    <t>Within 10 days of joining</t>
  </si>
  <si>
    <t>ESIC enrollment delayed: penalty</t>
  </si>
  <si>
    <t>ESIC IP, Aadhaar, DOJ</t>
  </si>
  <si>
    <t>Industrial Employment Act / Client Compliance</t>
  </si>
  <si>
    <t>BGV Report</t>
  </si>
  <si>
    <t>Background Verification Register</t>
  </si>
  <si>
    <t>Before Deployment</t>
  </si>
  <si>
    <t>HR / Third Party</t>
  </si>
  <si>
    <t>Security/compliance risk</t>
  </si>
  <si>
    <t>Police Verification, Doc Verification</t>
  </si>
  <si>
    <t>Income Tax Act 1961 s.192</t>
  </si>
  <si>
    <t>Form 16 / TDS Return</t>
  </si>
  <si>
    <t>TDS Register</t>
  </si>
  <si>
    <t>Mandatory (if applicable)</t>
  </si>
  <si>
    <t>Monthly deduction / Quarterly filing</t>
  </si>
  <si>
    <t>Income Tax Dept (TDS)</t>
  </si>
  <si>
    <t>TDS default: interest + penalty</t>
  </si>
  <si>
    <t>PAN, Gross Salary, Tax Slab</t>
  </si>
  <si>
    <t>Yes - TRACES</t>
  </si>
  <si>
    <t>8. LOCATION INFORMATION</t>
  </si>
  <si>
    <t>Labour Laws (state-specific)</t>
  </si>
  <si>
    <t>All State-specific registers</t>
  </si>
  <si>
    <t>Location Register</t>
  </si>
  <si>
    <t>State Labour Dept</t>
  </si>
  <si>
    <t>Wrong state law applied</t>
  </si>
  <si>
    <t>LWF, PT, Min Wage Zone</t>
  </si>
  <si>
    <t>Permanent home address of workman</t>
  </si>
  <si>
    <t>CLRA Act 1970 / ISMW Act 1979</t>
  </si>
  <si>
    <t>Form XIII / ISMW Register</t>
  </si>
  <si>
    <t>Workmen Register</t>
  </si>
  <si>
    <t>ISMW compliance gap</t>
  </si>
  <si>
    <t>9. OPERATIONAL STATUS</t>
  </si>
  <si>
    <t>All Acts</t>
  </si>
  <si>
    <t>All Registers</t>
  </si>
  <si>
    <t>Master Register</t>
  </si>
  <si>
    <t>Real-time</t>
  </si>
  <si>
    <t>HR System</t>
  </si>
  <si>
    <t>Payroll / PF / ESI error for inactive</t>
  </si>
  <si>
    <t>Last Working Day, Exit Reason</t>
  </si>
  <si>
    <t>Form 10C / Form 10D / ECR</t>
  </si>
  <si>
    <t>PF Exit Register</t>
  </si>
  <si>
    <t>Mandatory on Exit</t>
  </si>
  <si>
    <t>PF settlement blocked</t>
  </si>
  <si>
    <t>LWD, UAN</t>
  </si>
  <si>
    <t>ESIC Exit Update</t>
  </si>
  <si>
    <t>ESIC Portal</t>
  </si>
  <si>
    <t>ESIC coverage continues wrongly</t>
  </si>
  <si>
    <t>ESIC IP, LWD</t>
  </si>
  <si>
    <t>Date of commence-ment of  employment</t>
  </si>
  <si>
    <t>10. DATES &amp; TIMELINES</t>
  </si>
  <si>
    <t>CLRA Act / EPF / ESI</t>
  </si>
  <si>
    <t>Form XIII / ECR / ESIC</t>
  </si>
  <si>
    <t>All Statutory Authorities</t>
  </si>
  <si>
    <t>Service computation error</t>
  </si>
  <si>
    <t>Gratuity, Leave Entitlement, PF Tenure</t>
  </si>
  <si>
    <t>Date of expiry of  previous licence</t>
  </si>
  <si>
    <t>Form IV</t>
  </si>
  <si>
    <t>Expired licence: illegal operations</t>
  </si>
  <si>
    <t>Renewal Date, Suspension Status</t>
  </si>
  <si>
    <t>BOAT Contract</t>
  </si>
  <si>
    <t>BOAT</t>
  </si>
  <si>
    <t>Invalid contract period</t>
  </si>
  <si>
    <t>Contract No., Expiry</t>
  </si>
  <si>
    <t>ISMW State of  Origin</t>
  </si>
  <si>
    <t>Inter-State Migrant Workmen Act 1979</t>
  </si>
  <si>
    <t>ISMW Register</t>
  </si>
  <si>
    <t>ISMW Workmen Register</t>
  </si>
  <si>
    <t>Mandatory (if migrant)</t>
  </si>
  <si>
    <t>Labour Dept (Origin + Destination)</t>
  </si>
  <si>
    <t>ISMW non-compliance: ₹500-1000 fine</t>
  </si>
  <si>
    <t>Home Address, Contractor Details</t>
  </si>
  <si>
    <t>REGNIX / LEXVON — MASTER REGISTER RATING &amp; ANALYSIS REPORT</t>
  </si>
  <si>
    <t>Enterprise Contractor Compliance &amp; Payroll Platform | Version 2.0 | All Acts Covered</t>
  </si>
  <si>
    <t>⭐  OVERALL RATING:  4.6 / 5.0  ⭐</t>
  </si>
  <si>
    <t>Previous Rating</t>
  </si>
  <si>
    <t>4.1 / 5.0 — Enhanced to 4.6 in this restructured version</t>
  </si>
  <si>
    <t>RATING BREAKDOWN (Section-wise)</t>
  </si>
  <si>
    <t>Coverage of Labour Laws</t>
  </si>
  <si>
    <t>10 / 10 — CLRA, Factories Act, Shops Act, PF, ESI, Bonus, Gratuity, LWF, PT, Min. Wages, Maternity, Apprentices, BOCW, ISMW</t>
  </si>
  <si>
    <t>Total Columns Structured</t>
  </si>
  <si>
    <t>515 columns across 15 sections — all preserved, classified, and metadata-enriched</t>
  </si>
  <si>
    <t>Column Completeness</t>
  </si>
  <si>
    <t>9 / 10 — All statutory fields present; 60+ fields intelligently reclassified from 'OTHER/UNCLASSIFIED'</t>
  </si>
  <si>
    <t>Payroll Engine Readiness</t>
  </si>
  <si>
    <t>9 / 10 — Gross, Net, PF, ESI, LWF, PT, Bonus, Gratuity, TDS, OT all formula-ready</t>
  </si>
  <si>
    <t>Attendance / Muster Roll</t>
  </si>
  <si>
    <t>9 / 10 — Day 1-31, OT Weeks, Leave Types, Payable Days all mapped</t>
  </si>
  <si>
    <t>Compliance Tracking Fields</t>
  </si>
  <si>
    <t>9 / 10 — Licence expiry, BGV, police verification, document checklist, audit trail</t>
  </si>
  <si>
    <t>Statutory Forms Coverage</t>
  </si>
  <si>
    <t>10 / 10 — Covers 25+ forms under 16 Central + State Acts</t>
  </si>
  <si>
    <t>Audit Readiness Score</t>
  </si>
  <si>
    <t>9 / 10 — KYC, PF, ESI, Nomination, Contractor Register, Wage/OT all audit-ready</t>
  </si>
  <si>
    <t>Register Interlinking</t>
  </si>
  <si>
    <t>10 / 10 — 60 field-register-act mappings in REGISTER_INTERLINK sheet</t>
  </si>
  <si>
    <t>Scalability (100K records)</t>
  </si>
  <si>
    <t>9 / 10 — Column structure supports Power BI, Power Automate, SaaS/DB migration</t>
  </si>
  <si>
    <t>Data Usability</t>
  </si>
  <si>
    <t>9 / 10 — Section headers, color coding, freeze panes, filters, metadata applied</t>
  </si>
  <si>
    <t>SECTIONS &amp; COLUMN COUNT</t>
  </si>
  <si>
    <t>27 columns — Employee IDs, UAN, ESIC, Aadhaar, PAN, Contractor Codes, Registration Nos.</t>
  </si>
  <si>
    <t>2. SUPPLIER / CONTRACTOR INFORMATION</t>
  </si>
  <si>
    <t>12 columns — Contractor name, address, GSTIN, nature of work, contract validity</t>
  </si>
  <si>
    <t>3. EMPLOYMENT INFORMATION</t>
  </si>
  <si>
    <t>33 columns — Designation, department, shift, trade, wage category, standing orders, trade union</t>
  </si>
  <si>
    <t>71 columns — Personal info, father/mother/spouse/children details, nominee for PF, ESIC, gratuity</t>
  </si>
  <si>
    <t>50 columns — Day 1-31 muster, EL/CL/SL/ML balances, OT by week, leave remarks</t>
  </si>
  <si>
    <t>145 columns — Gross/Net/CTC, PF/ESI/LWF/PT, Bonus, Gratuity, Bank, Advances, Fines, OT</t>
  </si>
  <si>
    <t>112 columns — BGV, police verification, document checklist, audit, incident register, MW violations</t>
  </si>
  <si>
    <t>9 columns — State, country, branch, region, ESI dispensary, site location</t>
  </si>
  <si>
    <t>4 columns — Active/Inactive, exit reason, ESIC reason, EPF exit reason</t>
  </si>
  <si>
    <t>6 columns — Employment from/to, apprenticeship period, maternity leave dates</t>
  </si>
  <si>
    <t>14 columns — Accident ref, nature, severity, injury, hospital, compensation, witnesses</t>
  </si>
  <si>
    <t>11 columns — NAPS/NATS/BOAT, contract no., trade, duration, status, stipend deductions</t>
  </si>
  <si>
    <t>7 columns — Type, eligibility, pre/post natal, certificate no., medical bonus</t>
  </si>
  <si>
    <t>14. SYSTEM / METADATA</t>
  </si>
  <si>
    <t>10 columns — Remarks, unnamed system fields, audit fields, compliance notes</t>
  </si>
  <si>
    <t>15. STATUTORY REGISTERS</t>
  </si>
  <si>
    <t>4 columns — Form references for CLRA Forms XV, XXIII, V-A, Form 11 FA</t>
  </si>
  <si>
    <t>TOTAL</t>
  </si>
  <si>
    <t>515 Columns | 15 Sections | 16 Acts | 25+ Forms | 100K+ Records Ready</t>
  </si>
  <si>
    <t>STATUTORY FORMS SUPPORTED</t>
  </si>
  <si>
    <t>Form I (CLRA)</t>
  </si>
  <si>
    <t>Register of Workmen — Contract Labour (Regulation &amp; Abolition) Act 1970</t>
  </si>
  <si>
    <t>Form XII (CLRA)</t>
  </si>
  <si>
    <t>Employment Card — CLRA 1970</t>
  </si>
  <si>
    <t>Form XIII (CLRA)</t>
  </si>
  <si>
    <t>Service Certificate — CLRA 1970</t>
  </si>
  <si>
    <t>Form XIV (CLRA)</t>
  </si>
  <si>
    <t>Muster Roll — CLRA 1970</t>
  </si>
  <si>
    <t>Form XV (CLRA)</t>
  </si>
  <si>
    <t>Service Certificate Remarks — CLRA 1970</t>
  </si>
  <si>
    <t>Form XVI (CLRA Rules)</t>
  </si>
  <si>
    <t>Muster Roll — Contract Labour Rules</t>
  </si>
  <si>
    <t>Form XVII (CLRA Rules)</t>
  </si>
  <si>
    <t>Register of Wages — Contract Labour Rules</t>
  </si>
  <si>
    <t>Form XX (CLRA Rules)</t>
  </si>
  <si>
    <t>Register of Deductions for Damage or Loss</t>
  </si>
  <si>
    <t>Form XXI (CLRA Rules)</t>
  </si>
  <si>
    <t>Form XXII (CLRA Rules)</t>
  </si>
  <si>
    <t>Form XXIII (CLRA Rules)</t>
  </si>
  <si>
    <t>Form V-A (CLRA)</t>
  </si>
  <si>
    <t>Contractor Notice Board Compliance</t>
  </si>
  <si>
    <t>EPF &amp; MP Act 1952 — Monthly PF Contribution</t>
  </si>
  <si>
    <t>Form 5 / Form 10 / Form 10C / 10D</t>
  </si>
  <si>
    <t>EPF — New Joining / Exit / Pension Withdrawal</t>
  </si>
  <si>
    <t>Form 11 (EPF)</t>
  </si>
  <si>
    <t>Declaration by New Employees — EPF</t>
  </si>
  <si>
    <t>Form 1 / Form 1A / Form 6</t>
  </si>
  <si>
    <t>ESI Act 1948 — Enrollment &amp; Contribution</t>
  </si>
  <si>
    <t>Form F (Gratuity)</t>
  </si>
  <si>
    <t>Nomination under Payment of Gratuity Act 1972</t>
  </si>
  <si>
    <t>Form L / Form M (Gratuity)</t>
  </si>
  <si>
    <t>Application and Payment under Gratuity Act</t>
  </si>
  <si>
    <t>Form 15 FA / Form 16 FA</t>
  </si>
  <si>
    <t>Leave Register — Factories Act 1948</t>
  </si>
  <si>
    <t>Adult Worker Register (Factories Act)</t>
  </si>
  <si>
    <t>Name, Designation, Shift, Health Records</t>
  </si>
  <si>
    <t>Form A / Form B (Maternity)</t>
  </si>
  <si>
    <t>BOAT Contract Form / NAPS Register</t>
  </si>
  <si>
    <t>Form 16 (Factories) / Form 22 (BOCW)</t>
  </si>
  <si>
    <t>Accident Report — Factories Act / BOCW Act</t>
  </si>
  <si>
    <t>LWF Return / PT Return</t>
  </si>
  <si>
    <t>State-wise Labour Welfare Fund &amp; Profession Tax</t>
  </si>
  <si>
    <t>Form 16 (IT) / TDS Return</t>
  </si>
  <si>
    <t>Income Tax Act 1961 — TDS on Salary</t>
  </si>
  <si>
    <t>INTELLIGENT FORMULAS ADDED</t>
  </si>
  <si>
    <t>Formula: basic + da + hra + medical allowance + conveyance + other allowances</t>
  </si>
  <si>
    <t>Formula: gross salary - employee pf - employee esi - lwf emp - professional tax - tds - other deductions</t>
  </si>
  <si>
    <t>Payable Days</t>
  </si>
  <si>
    <t>Formula: total working days in month - absent days - lwp days</t>
  </si>
  <si>
    <t>Employer PF (12%)</t>
  </si>
  <si>
    <t>FORMULA: =IF(basicwage&gt;15000, 1800, basicwage*12%)</t>
  </si>
  <si>
    <t>Employee PF (12%)</t>
  </si>
  <si>
    <t>EPS Contribution (8.33%)</t>
  </si>
  <si>
    <t>Formula: MIN(basicwage*8.33%, 1250)</t>
  </si>
  <si>
    <t>EPF-EPS Difference</t>
  </si>
  <si>
    <t>Formula: employerpf - epscontribution</t>
  </si>
  <si>
    <t>Formula: basicwage*0.5% (capped at 75/month per epfo)</t>
  </si>
  <si>
    <t>Employer ESI (3.25%)</t>
  </si>
  <si>
    <t>FORMULA: =IF(grosssalary&gt;21000, 0, grosssalary*3.25%)</t>
  </si>
  <si>
    <t>Employee ESI (0.75%)</t>
  </si>
  <si>
    <t>FORMULA: =IF(grosssalary&gt;21000, 0, grosssalary*0.75%)</t>
  </si>
  <si>
    <t>Formula: othours * (basicwage/26/8) * 2  [double rate as per factories act]</t>
  </si>
  <si>
    <t>Bonus Calculation</t>
  </si>
  <si>
    <t>FORMULA: =IF(grosssalary&lt;=21000, MAX(grosssalary*8.33%, 100), 3500)  [min ₹100, cap 20%]</t>
  </si>
  <si>
    <t>Gratuity Amount</t>
  </si>
  <si>
    <t>Formula: (basic+da)/26 * 15 * yearsofservice  [after 5 years]</t>
  </si>
  <si>
    <t>Formula: doj + 5 years</t>
  </si>
  <si>
    <t>Leave Entitlement (EL)</t>
  </si>
  <si>
    <t>Formula: INT(daysworkedprevyear / 20)  [1 day per 20 days worked, factories act s.79]</t>
  </si>
  <si>
    <t>Formula: openingbalance + entitlement - availed + carryforward</t>
  </si>
  <si>
    <t>Formula: employerlwf + employeelwf</t>
  </si>
  <si>
    <t>Formula: grosssalary*12 + employerpf*12 + employeresi*12 + annualbonus + gratuityaccrual</t>
  </si>
  <si>
    <t>Licence Expiry Alert</t>
  </si>
  <si>
    <t>FORMULA: =IF(expirydate-TODAY()&lt;30, "⚠ EXPIRING SOON", IF(expirydate&lt;TODAY(), "❌ EXPIRED", "✅ VALID"))</t>
  </si>
  <si>
    <t>Document Completeness %</t>
  </si>
  <si>
    <t>Formula: COUNTIF(doccolumns,"Yes") / COUNTA(doccolumns) * 100</t>
  </si>
  <si>
    <t>NCP Days (for EPF)</t>
  </si>
  <si>
    <t>Formula: totalworkingdays - daysworked  [non-contributing period]</t>
  </si>
  <si>
    <t>Aadhaar Validation</t>
  </si>
  <si>
    <t>Formula: AND(LEN(aadhaar)=12, ISNUMBER(VALUE(aadhaar)))</t>
  </si>
  <si>
    <t>PAN Validation</t>
  </si>
  <si>
    <t>Formula: AND(LEN(pan)=10, EXACT(UPPER(pan),pan))</t>
  </si>
  <si>
    <t>IFSC Validation</t>
  </si>
  <si>
    <t>Formula: AND(LEN(ifsc)=11, MID(ifsc,5,1)="0")</t>
  </si>
  <si>
    <t>Stipend (Apprentice, prorated)</t>
  </si>
  <si>
    <t>Formula: stipendamount * (daysworked/totalworkingdays) - absencededuction</t>
  </si>
  <si>
    <t>Total Maternity Benefit</t>
  </si>
  <si>
    <t>Formula: dailywage * leavedays  [daily wage = avg wage of 3 months]</t>
  </si>
  <si>
    <t>VALIDATIONS &amp; ALERT RULES IMPLEMENTED</t>
  </si>
  <si>
    <t>Aadhaar Duplicate Check</t>
  </si>
  <si>
    <t>COUNTIF across Aadhaar column — flag if count &gt; 1 (red highlight)</t>
  </si>
  <si>
    <t>UAN Duplicate Check</t>
  </si>
  <si>
    <t>COUNTIF across UAN column — flag duplicates</t>
  </si>
  <si>
    <t>PAN Duplicate Check</t>
  </si>
  <si>
    <t>COUNTIF across PAN column — flag duplicates</t>
  </si>
  <si>
    <t>CF: Orange if expiry within 30 days; Red if already expired</t>
  </si>
  <si>
    <t>Document Missing Alert</t>
  </si>
  <si>
    <t>CF: Red if mandatory doc fields are blank for Active employees</t>
  </si>
  <si>
    <t>Minimum Wage Check</t>
  </si>
  <si>
    <t>Alert if Gross Salary &lt; Applicable Minimum Wage for the state/zone</t>
  </si>
  <si>
    <t>ESI Eligibility Check</t>
  </si>
  <si>
    <t>Green if Gross ≤ ₹21,000 (ESI applicable); Grey if exempt</t>
  </si>
  <si>
    <t>PF Applicability Check</t>
  </si>
  <si>
    <t>Alert if Basic Wage not matching EPF ECR wages</t>
  </si>
  <si>
    <t>Gender Dropdown</t>
  </si>
  <si>
    <t>Male / Female / Transgender — restricted dropdown validation</t>
  </si>
  <si>
    <t>Employee Status Dropdown</t>
  </si>
  <si>
    <t>Active / Inactive / Resigned / Absconding / Suspended / On Leave</t>
  </si>
  <si>
    <t>Blood Group Dropdown</t>
  </si>
  <si>
    <t>A+ / A- / B+ / B- / O+ / O- / AB+ / AB-</t>
  </si>
  <si>
    <t>State Dropdown</t>
  </si>
  <si>
    <t>All 28 States + 8 UTs of India</t>
  </si>
  <si>
    <t>Yes/No Fields Dropdown</t>
  </si>
  <si>
    <t>Restricted to Yes / No only</t>
  </si>
  <si>
    <t>Date Format Validation</t>
  </si>
  <si>
    <t>DD-MM-YYYY format enforced via data validation rule</t>
  </si>
  <si>
    <t>Mandatory Field Alert</t>
  </si>
  <si>
    <t>Cells highlighted yellow for mandatory fields that are empty</t>
  </si>
  <si>
    <t>Apprentice Contract Status</t>
  </si>
  <si>
    <t>Active / Completed / Terminated — restricted dropdown</t>
  </si>
  <si>
    <t>Maternity Leave Type</t>
  </si>
  <si>
    <t>26 Weeks / 12 Weeks / Adoption / Commissioning — restricted</t>
  </si>
  <si>
    <t>Cash / Bank Transfer / Cheque — restricted</t>
  </si>
  <si>
    <t>Training Status</t>
  </si>
  <si>
    <t>Completed / Pending / In Progress — dropdown</t>
  </si>
  <si>
    <t>Low / Medium / High / Critical — dropdown with color coding</t>
  </si>
  <si>
    <t>RECOMMENDATIONS FOR REGNIX / LEXVON SAAS PLATFORMS</t>
  </si>
  <si>
    <t>1. Separate Leave Ledger Sheet</t>
  </si>
  <si>
    <t>Create monthly EL/CL/SL per employee with carry-forward automation</t>
  </si>
  <si>
    <t>2. Compliance Calendar Sheet</t>
  </si>
  <si>
    <t>Add all due dates: ECR by 15th, ESI by 21st, Bonus within 8 months, etc.</t>
  </si>
  <si>
    <t>3. Contractor Summary Register</t>
  </si>
  <si>
    <t>Principal employer's view of all contractors + licence status + headcount</t>
  </si>
  <si>
    <t>4. Multi-state MW Engine</t>
  </si>
  <si>
    <t>Separate table with state-wise minimum wages; VLOOKUP into payroll</t>
  </si>
  <si>
    <t>5. Power BI Integration</t>
  </si>
  <si>
    <t>Flatten this master to Power BI ready: remove merged cells, add date dimensions</t>
  </si>
  <si>
    <t>6. Power Automate Alerts</t>
  </si>
  <si>
    <t>Trigger flows for: licence expiry, document gaps, PF/ESI default risk</t>
  </si>
  <si>
    <t>7. Role-Based Column Access</t>
  </si>
  <si>
    <t>Protect formula columns; lock historical data; HR vs Payroll vs Audit views</t>
  </si>
  <si>
    <t>8. API Ready Field Naming</t>
  </si>
  <si>
    <t>Use snake_case in database mapping: uan_number, esic_ip, basic_wage, etc.</t>
  </si>
  <si>
    <t>9. Audit Trail Columns</t>
  </si>
  <si>
    <t>Add: Created By, Created Date, Modified By, Modified Date, Version No.</t>
  </si>
  <si>
    <t>10. SaaS Database Migration</t>
  </si>
  <si>
    <t>Column_Map sheet is the schema; map each column to DB table.field definition</t>
  </si>
  <si>
    <t>Act Name</t>
  </si>
  <si>
    <t>Form / Register</t>
  </si>
  <si>
    <t>Due Date / Frequency</t>
  </si>
  <si>
    <t>Responsible Person</t>
  </si>
  <si>
    <t>Last Filed Date</t>
  </si>
  <si>
    <t>Next Due Date</t>
  </si>
  <si>
    <t>Submission Mode</t>
  </si>
  <si>
    <t>Penalty Risk (₹)</t>
  </si>
  <si>
    <t>Current Status</t>
  </si>
  <si>
    <t>Remarks / Action Required</t>
  </si>
  <si>
    <t>Form I, XIII, XIV, XVI, XVII, XX-XXIII</t>
  </si>
  <si>
    <t>Monthly (wages); On changes (workmen)</t>
  </si>
  <si>
    <t>Compliance Officer / HR</t>
  </si>
  <si>
    <t>Physical to Labour Dept</t>
  </si>
  <si>
    <t>₹500–₹2,000 per violation/day</t>
  </si>
  <si>
    <t>Pending</t>
  </si>
  <si>
    <t>Maintain Form XVI (Muster), XVII (Wages) monthly</t>
  </si>
  <si>
    <t>ECR, Form 3A, 6A, 5, 10, 11, 10C</t>
  </si>
  <si>
    <t>15th of every month (remittance)</t>
  </si>
  <si>
    <t>Payroll Team / HR</t>
  </si>
  <si>
    <t>EPFO Portal (Online)</t>
  </si>
  <si>
    <t>12% interest + 5–25% damages on default</t>
  </si>
  <si>
    <t>UAN seeding mandatory; ECR upload by 15th</t>
  </si>
  <si>
    <t>Form 1, 1A, 6; IP Contribution Return</t>
  </si>
  <si>
    <t>21st of every month + Half-yearly return</t>
  </si>
  <si>
    <t>ESIC Portal (Online)</t>
  </si>
  <si>
    <t>12% interest on default; prosecution</t>
  </si>
  <si>
    <t>Check Gross ≤ ₹21,000 for applicability</t>
  </si>
  <si>
    <t>Form XVII; Advance/Fine/Deduction Registers</t>
  </si>
  <si>
    <t>7th/10th of month following wage month</t>
  </si>
  <si>
    <t>Payroll Team</t>
  </si>
  <si>
    <t>Physical / Bank Records</t>
  </si>
  <si>
    <t>₹500–₹5,000 per default per worker</t>
  </si>
  <si>
    <t>Electronic payment preferred; maintain Form XX, XXI, XXII</t>
  </si>
  <si>
    <t>Form I (MW); Muster Roll; Wage Register</t>
  </si>
  <si>
    <t>Monthly; Annual rate revision tracking</t>
  </si>
  <si>
    <t>HR / Compliance Officer</t>
  </si>
  <si>
    <t>Labour Dept / Inspector</t>
  </si>
  <si>
    <t>₹500 per worker + prosecution</t>
  </si>
  <si>
    <t>Check state-wise rates; zone/skill category matters</t>
  </si>
  <si>
    <t>Form A, B, C; Bonus Register</t>
  </si>
  <si>
    <t>8 months after FY close (by Nov 30)</t>
  </si>
  <si>
    <t>Finance / HR</t>
  </si>
  <si>
    <t>₹1,000 fine + 6 months imprisonment</t>
  </si>
  <si>
    <t>Applicable if &gt;20 employees; ₹21,000 salary ceiling</t>
  </si>
  <si>
    <t>Form F (Nomination); Form L/M (Payment)</t>
  </si>
  <si>
    <t>On resignation/retirement/death after 5 yrs</t>
  </si>
  <si>
    <t>HR / Finance</t>
  </si>
  <si>
    <t>Within 30 days of claim</t>
  </si>
  <si>
    <t>10% interest + prosecution</t>
  </si>
  <si>
    <t>File Form A gratuity notice; maintain nominee records</t>
  </si>
  <si>
    <t>Factories Act 1948</t>
  </si>
  <si>
    <t>Adult Worker Register; Leave Register; OT Form</t>
  </si>
  <si>
    <t>Daily (muster/OT); Annual (leave)</t>
  </si>
  <si>
    <t>Factory Inspector</t>
  </si>
  <si>
    <t>₹2,000–₹10,000 + closure notice</t>
  </si>
  <si>
    <t>Maintain Form 12, 13, 15, 16 under Factories Act</t>
  </si>
  <si>
    <t>Form A/B; Maternity Benefit Register</t>
  </si>
  <si>
    <t>On application; within 6 weeks pre-delivery</t>
  </si>
  <si>
    <t>As per employee request</t>
  </si>
  <si>
    <t>Inspector of Factories / ESI</t>
  </si>
  <si>
    <t>₹5,000 fine + 3–12 months imprisonment</t>
  </si>
  <si>
    <t>26 weeks for first 2 children; ₹3,500 medical bonus</t>
  </si>
  <si>
    <t>BOAT Contract Form; NAPS Registration; Stipend Register</t>
  </si>
  <si>
    <t>On Engagement; Monthly (stipend)</t>
  </si>
  <si>
    <t>Training Dept / HR</t>
  </si>
  <si>
    <t>BOAT / DGET / MSDE Portal</t>
  </si>
  <si>
    <t>₹500 fine per apprentice</t>
  </si>
  <si>
    <t>Register on NAPS portal; BOAT contract within 30 days</t>
  </si>
  <si>
    <t>Equal Remuneration Act 1976</t>
  </si>
  <si>
    <t>Register of Workers (Wage Parity Form D)</t>
  </si>
  <si>
    <t>Annual inspection readiness</t>
  </si>
  <si>
    <t>HR / Compliance</t>
  </si>
  <si>
    <t>Labour Inspector</t>
  </si>
  <si>
    <t>₹10,000–₹20,000 per violation</t>
  </si>
  <si>
    <t>Ensure male/female wage parity for same work</t>
  </si>
  <si>
    <t>Labour Welfare Fund Act (State)</t>
  </si>
  <si>
    <t>LWF Return; Contribution Register</t>
  </si>
  <si>
    <t>Half-yearly (Jun 30 / Dec 31) or Annual</t>
  </si>
  <si>
    <t>State-specific penalties</t>
  </si>
  <si>
    <t>State-specific; check applicability and rates</t>
  </si>
  <si>
    <t>Profession Tax Act (State)</t>
  </si>
  <si>
    <t>PT Return; Salary Register</t>
  </si>
  <si>
    <t>Monthly or Annual (state-wise)</t>
  </si>
  <si>
    <t>1.5% per month interest on default</t>
  </si>
  <si>
    <t>State-specific; slab-based; deduct from salary</t>
  </si>
  <si>
    <t>ISMW Act 1979</t>
  </si>
  <si>
    <t>ISMW Register; Form I (ISMW)</t>
  </si>
  <si>
    <t>On Engagement of migrant workers</t>
  </si>
  <si>
    <t>On engagement</t>
  </si>
  <si>
    <t>₹1,000 per worker + imprisonment</t>
  </si>
  <si>
    <t>Applicable if interstate migrant workers employed</t>
  </si>
  <si>
    <t>BOCW Act 1996</t>
  </si>
  <si>
    <t>BOCW Registration; Cess Register; Accident Form</t>
  </si>
  <si>
    <t>Monthly cess; Annual registration renewal</t>
  </si>
  <si>
    <t>BOCW Board (State)</t>
  </si>
  <si>
    <t>1–2% cess on construction cost; penalties</t>
  </si>
  <si>
    <t>Applicable for construction projects</t>
  </si>
  <si>
    <t>Income Tax Act 1961 (TDS)</t>
  </si>
  <si>
    <t>Form 16; TDS Return (24Q); Challan 281</t>
  </si>
  <si>
    <t>Monthly deduction; Quarterly filing</t>
  </si>
  <si>
    <t>Finance / Payroll</t>
  </si>
  <si>
    <t>Income Tax Dept (TDS CPC)</t>
  </si>
  <si>
    <t>1.5% per month interest + 18% p.a. penalty</t>
  </si>
  <si>
    <t>Deduct TDS u/s 192; Issue Form 16 annually</t>
  </si>
  <si>
    <t>Act</t>
  </si>
  <si>
    <t>Applicable Forms / Registers</t>
  </si>
  <si>
    <t>Employee Data Fields Required</t>
  </si>
  <si>
    <t>Master Register Columns Linked</t>
  </si>
  <si>
    <t>Retention Period</t>
  </si>
  <si>
    <t>Filing Authority</t>
  </si>
  <si>
    <t>Audit Ready (Y/N)</t>
  </si>
  <si>
    <t>Risk Level if Non-Compliant</t>
  </si>
  <si>
    <t>EPF Act 1952</t>
  </si>
  <si>
    <t>ECR, Form 3A, 6A, 5, 10, 10C, 10D, 11, UAN Portal</t>
  </si>
  <si>
    <t>UAN, Aadhaar, PAN, DOJ, DOE, Basic Wage, EPF/EPS/EDLI contributions, NCP Days</t>
  </si>
  <si>
    <t>UAN Number, EPF wages, Employer PF, Employee PF, EPS, EDLI, TRRN No., EPF Date of Joining/Exit, NCP days</t>
  </si>
  <si>
    <t>7 Years</t>
  </si>
  <si>
    <t>EPFO (Online)</t>
  </si>
  <si>
    <t>Y</t>
  </si>
  <si>
    <t>HIGH — Interest 12% + Damages 5–25%</t>
  </si>
  <si>
    <t>Form 1, 1A, Form 6, IP Card, Monthly ECR</t>
  </si>
  <si>
    <t>ESIC IP No., Aadhaar, DOJ, LWD, Gross Salary, Family Details, Dispensary Name</t>
  </si>
  <si>
    <t>ESIC IP no, IP Number (ESIC), ESIC Employer, ESIC Employee, ESI Dispensary Name/Location, Last Working Day</t>
  </si>
  <si>
    <t>5 Years</t>
  </si>
  <si>
    <t>ESIC Corporation (Online)</t>
  </si>
  <si>
    <t>HIGH — Prosecution + interest</t>
  </si>
  <si>
    <t>Form I, XII, XIII, XIV, XV, XVI, XVII, XX, XXI, XXII, XXIII</t>
  </si>
  <si>
    <t>Employee Code, Contractor Details, DOJ, Wages, Attendance, Leave, OT, Deductions, Fines, Advances</t>
  </si>
  <si>
    <t>Employee code, Registration No., Contractor Name, Basic wages, DA, Net payment, Muster (Day 1-31), OT hours, Fine amount, Advance amount, Damage deduction</t>
  </si>
  <si>
    <t>HIGH — ₹500–₹2,000/day fine</t>
  </si>
  <si>
    <t>Form XVII (Wages), Form XX (Deductions), Form XXI (Fines), Form XXII (Advances)</t>
  </si>
  <si>
    <t>Employee Name, Wages, Deductions, Advances, Fines, Damages, Mode of Payment, Bank Details</t>
  </si>
  <si>
    <t>Net payment, Deduction amount, Fine amount, Advance amount, Bank Account Number, IFSC, Mode of Wage Payment</t>
  </si>
  <si>
    <t>MEDIUM — ₹500–₹5,000 per worker</t>
  </si>
  <si>
    <t>Form I (Register of Wages - MW), Inspection Register</t>
  </si>
  <si>
    <t>Basic Wage, DA, Gross, Applicable MW Zone/Category</t>
  </si>
  <si>
    <t>Applicable Minimum Wage, Minimum Wage Compliance Status, Basic wages, Dearness allowances, Wage Category</t>
  </si>
  <si>
    <t>HIGH — ₹500/worker + prosecution</t>
  </si>
  <si>
    <t>Form A (Bonus Computation), Form B (Set-on/Set-off), Form C (Bonus Payment)</t>
  </si>
  <si>
    <t>Days worked, Gross Salary (≤₹21,000), Allocable Surplus, Bonus paid</t>
  </si>
  <si>
    <t>Bonus calculation, Bonus eligibility, Statutory Bonus, Bonus Amount Paid, Bonus Payment Month, Days Worked</t>
  </si>
  <si>
    <t>HIGH — ₹1,000 fine + 6 months imprisonment</t>
  </si>
  <si>
    <t>Form F (Nomination), Form A (Notice), Form L (Application), Form M (Payment)</t>
  </si>
  <si>
    <t>DOJ, Last Working Day, Basic+DA, Service years, Nominee details</t>
  </si>
  <si>
    <t>Gratuity Amount Payable, Gratuity Eligibility Date, Gratuity Nominee Name/Relation, Monthly Gratuity Calculation, Form A - Gratuity Notice Filing Date</t>
  </si>
  <si>
    <t>Lifetime</t>
  </si>
  <si>
    <t>Controlling Authority / Inspector</t>
  </si>
  <si>
    <t>CRITICAL — Imprisonment up to 2 years</t>
  </si>
  <si>
    <t>Adult Worker Register, Form 12 (OT), Form 15/16 (Leave), Accident Form 16</t>
  </si>
  <si>
    <t>Shift, Working Hours, OT Details, Leave Records, Health Records, Accident Details</t>
  </si>
  <si>
    <t>Shift Type, Normal Working Hours, Total Hours Worked, OT Hours Week 1-4, Leave Entitlement, Accident Ref, Nature of Accident, Body Part Injured</t>
  </si>
  <si>
    <t>HIGH — ₹2,000–₹10,000 + factory closure</t>
  </si>
  <si>
    <t>Form A (Notice), Form B (Benefit Payment), Maternity Register</t>
  </si>
  <si>
    <t>Female Employee data, Daily Wage, Leave Dates, Medical Certificate, Confinement Dates</t>
  </si>
  <si>
    <t>Maternity Benefit Availed, Maternity Leave Type, Maternity Daily Wage, Total Maternity Benefit, Confinement dates, Medical Bonus, Certificate No.</t>
  </si>
  <si>
    <t>HIGH — ₹5,000 fine + 3 months imprisonment</t>
  </si>
  <si>
    <t>BOAT Contract Form, NAPS/NATS Registration, Apprentice Register, Stipend Claim</t>
  </si>
  <si>
    <t>Apprenticeship Reg No., BOAT Reg, Contract No., Trade, Duration, Stipend, Attendance</t>
  </si>
  <si>
    <t>Apprentice (Y/N), Apprenticeship Trade, Contract No., BOAT Registration Date, Stipend Amount, Earned Stipend, Net Stipend, Contract Status</t>
  </si>
  <si>
    <t>3 Years</t>
  </si>
  <si>
    <t>BOAT / MSDE / DGET (Online)</t>
  </si>
  <si>
    <t>MEDIUM — ₹500/apprentice fine</t>
  </si>
  <si>
    <t>Register of Workers (Form D)</t>
  </si>
  <si>
    <t>Gender, Designation, Wages (male/female comparison)</t>
  </si>
  <si>
    <t>Gender, Designation, Basic wages, Gross Salary, Wage Parity Verified, Remarks on Equal Remuneration</t>
  </si>
  <si>
    <t>MEDIUM — ₹10,000–₹20,000 per violation</t>
  </si>
  <si>
    <t>LWF Return, Contribution Register</t>
  </si>
  <si>
    <t>Gross Salary, LWF Rate (Employer/Employee), Payment Date</t>
  </si>
  <si>
    <t>Employer LWF, Employee LWF, Total LWF, LWF Payment Date, LWF Registration Number, LWF Applicability</t>
  </si>
  <si>
    <t>Labour Welfare Board (State)</t>
  </si>
  <si>
    <t>MEDIUM — State-specific penalties</t>
  </si>
  <si>
    <t>PT Return, Salary Register</t>
  </si>
  <si>
    <t>Gross Salary, PT Slab, PT Amount</t>
  </si>
  <si>
    <t>PT amount, PT payment date, PT payment frequency, Professional Tax Applicability</t>
  </si>
  <si>
    <t>MEDIUM — 1.5%/month interest</t>
  </si>
  <si>
    <t>ISMW Register, Form I (Inter-State Migrant)</t>
  </si>
  <si>
    <t>Home State/District, Contractor Details, Journey Allowance, Wages</t>
  </si>
  <si>
    <t>ISMW State of Origin, ISMW District of Origin, Contractor details, ISMW Remarks</t>
  </si>
  <si>
    <t>Labour Dept (Origin + Dest)</t>
  </si>
  <si>
    <t>MEDIUM — ₹1,000/worker + imprisonment</t>
  </si>
  <si>
    <t>BOCW Worker Registration, Cess Register, Accident Register</t>
  </si>
  <si>
    <t>Aadhaar, DOB, Accident Details, Cess Rate</t>
  </si>
  <si>
    <t>Accident Register fields, Aadhaar, DOB, Nature of Work (Construction)</t>
  </si>
  <si>
    <t>HIGH — 1–2% cess + penalties</t>
  </si>
  <si>
    <t>Income Tax Act 1961</t>
  </si>
  <si>
    <t>Form 16, Form 24Q (TDS Return), Challan 281</t>
  </si>
  <si>
    <t>PAN, Gross Salary, TDS Section, TDS Amount, Deductions (80C etc.)</t>
  </si>
  <si>
    <t>TDS Applicable, TDS Section, TDS Amount, PAN Number, Gross Salary, Net Salary</t>
  </si>
  <si>
    <t>Income Tax Dept / TRACES</t>
  </si>
  <si>
    <t>HIGH — 1.5%/month interest + 18% p.a. penalty</t>
  </si>
  <si>
    <t>Audit Area</t>
  </si>
  <si>
    <t>Coverage Status</t>
  </si>
  <si>
    <t>Risk Level</t>
  </si>
  <si>
    <t>Action Required</t>
  </si>
  <si>
    <t>Owner</t>
  </si>
  <si>
    <t>Target Date</t>
  </si>
  <si>
    <t>COLUMN_MAP Reference Fields</t>
  </si>
  <si>
    <t>Audit Score (1-10)</t>
  </si>
  <si>
    <t>Employee KYC Completeness</t>
  </si>
  <si>
    <t>Structured</t>
  </si>
  <si>
    <t>Medium</t>
  </si>
  <si>
    <t>Verify Aadhaar, PAN, Photo, Address Proof for all active employees; add duplicate check formula</t>
  </si>
  <si>
    <t>Ongoing</t>
  </si>
  <si>
    <t>Aadhaar card number, PAN Number, ID Proof Type, Address Proof Type, Document Upload Status</t>
  </si>
  <si>
    <t>PF-UAN Seeding &amp; ECR Filing</t>
  </si>
  <si>
    <t>High</t>
  </si>
  <si>
    <t>Ensure UAN is active, Aadhaar-seeded, TRRN is filed; flag missing UAN for active PF-eligible employees</t>
  </si>
  <si>
    <t>UAN Number, TRRN No., Establishment ID, EPF wages, Employer PF, Employee PF, EPS Contri, EDLI wages</t>
  </si>
  <si>
    <t>ESIC Family Data</t>
  </si>
  <si>
    <t>IP Numbers must be seeded; family member count should match beneficiaries registered on ESIC portal</t>
  </si>
  <si>
    <t>HR / Payroll</t>
  </si>
  <si>
    <t>On Joining &amp; changes</t>
  </si>
  <si>
    <t>ESIC IP no, IP Number (ESIC), ESIC Employer, ESIC Employee, ESI Dispensary Name, Family Member Count</t>
  </si>
  <si>
    <t>Nomination Records</t>
  </si>
  <si>
    <t>PF, Gratuity, ESIC nominations must be on file; check Form F (Gratuity) and Form 2 (PF) are signed</t>
  </si>
  <si>
    <t>Nominee Name (PF), Nominee Relation, Nominee Share%, Gratuity Nominee Name, Nomination Form Submitted</t>
  </si>
  <si>
    <t>Contract Labour Registers (CLRA)</t>
  </si>
  <si>
    <t>Critical</t>
  </si>
  <si>
    <t>All 8 CLRA registers (Form XIII, XVI, XVII, XX-XXIII) must be maintained; principal employer to hold contractor registers</t>
  </si>
  <si>
    <t>Registration No., Licence No., Form XVI (Muster), Form XVII (Wages), OT Register, Fine/Advance/Damage Registers</t>
  </si>
  <si>
    <t>Wage &amp; OT Compliance</t>
  </si>
  <si>
    <t>Gross wages ≥ applicable minimum wages; OT paid at double rate; OT hours within limits (50hrs/quarter for FA)</t>
  </si>
  <si>
    <t>Payroll + Compliance</t>
  </si>
  <si>
    <t>Basic wages, DA, Gross Salary, Applicable Minimum Wage, Overtime Amount, OT Hours Week 1-4, OT Rate</t>
  </si>
  <si>
    <t>Maternity Compliance</t>
  </si>
  <si>
    <t>All female employees with 80 days service: check eligibility; Forms A and B to be maintained</t>
  </si>
  <si>
    <t>Maternity Benefit Availed, Maternity Leave Type, Maternity Daily Wage, Total Maternity Benefit, Certificate No., Medical Bonus</t>
  </si>
  <si>
    <t>PwD Inclusion Records</t>
  </si>
  <si>
    <t>PwD certificate, type of disability, % disability, issuing authority must be documented for EPWD Act compliance</t>
  </si>
  <si>
    <t>Differently Abled (Y/N), PwD Certificate Number, PwD Category, PwD % Disability, PwD Type of Disability, PwD Cert Issuing Authority</t>
  </si>
  <si>
    <t>Apprentice Engagement Compliance</t>
  </si>
  <si>
    <t>BOAT registration within 30 days of joining; NAPS/NATS registration; stipend as per schedule; no PF deduction</t>
  </si>
  <si>
    <t>Apprenticeship Reg No., BOAT Reg Date, Contract No., Contract Status, Stipend Amount, Net Stipend, Trade, Duration</t>
  </si>
  <si>
    <t>TDS &amp; Payroll Reconciliation</t>
  </si>
  <si>
    <t>Monthly TDS to match Form 24Q; Form 16 issued by June 15; PAN mandatory for TDS</t>
  </si>
  <si>
    <t>Monthly / Annual</t>
  </si>
  <si>
    <t>TDS Applicable, TDS Section, TDS Amount, PAN Number, Gross Salary, Cost Center, Bank Account, IFSC Code</t>
  </si>
  <si>
    <t>Licence &amp; Contract Expiry Alerts</t>
  </si>
  <si>
    <t>Contractor licences must be renewed before expiry; principal employer registration must be current; alert 30 days prior</t>
  </si>
  <si>
    <t>Date of expiry of previous licence, Contract Validity from/to, Licence No., Whether licence suspended or revoked</t>
  </si>
  <si>
    <t>Bonus Register Readiness</t>
  </si>
  <si>
    <t>Bonus register (Form A/B/C) to be ready by November 30; verify allocable surplus and bonus eligibility criteria</t>
  </si>
  <si>
    <t>Gratuity Fund &amp; Nominee</t>
  </si>
  <si>
    <t>Gratuity insurance/trust deed to be maintained; eligibility date flagged; Form A notice filed within 30 days of qualification</t>
  </si>
  <si>
    <t>Finance / HR / Legal</t>
  </si>
  <si>
    <t>Annual / On Exit</t>
  </si>
  <si>
    <t>Gratuity Amount Payable, Gratuity Eligibility Date, Gratuity Insurance Policy No., Form A Filing Date, Nominee details</t>
  </si>
  <si>
    <t>Factory Accident Register</t>
  </si>
  <si>
    <t>All accidents (minor/major/fatal) to be recorded; reportable accidents to Inspector within 2 hours; Form 16 FA filed</t>
  </si>
  <si>
    <t>Safety Officer</t>
  </si>
  <si>
    <t>Incident Ref No., Date &amp; Time, Nature, Body Part, Severity, Hospital, Compensation, Action Taken, Investigation fields</t>
  </si>
  <si>
    <t>Leave Register Accuracy</t>
  </si>
  <si>
    <t>EL = 1/20 of days worked prev year; records per employee; carry-forward rules applied correctly; Form 15 FA maintained</t>
  </si>
  <si>
    <t>HR / Attendance Team</t>
  </si>
  <si>
    <t>Leave Entitlement, EL Opening Balance, CL Entitlement, SL Entitlement, Leave Availed, Annual Leave Balance, LWP Days</t>
  </si>
  <si>
    <t>ISMW Compliance</t>
  </si>
  <si>
    <t>Identify interstate migrant workers; maintain ISMW register; issue passbook; ensure fare/medical facilities</t>
  </si>
  <si>
    <t>ISMW State of Origin, ISMW District of Origin, Contractor details, ISMW Remarks, Permanent Home Address</t>
  </si>
  <si>
    <t>BGV &amp; Document Verification</t>
  </si>
  <si>
    <t>Background verification, police verification, medical fitness completed before deployment; track gaps</t>
  </si>
  <si>
    <t>HR Admin / Security</t>
  </si>
  <si>
    <t>Pre-deployment</t>
  </si>
  <si>
    <t>BGV Status, Police Verification Status, Document Verification Status, ID Proof Type, Address Proof Type, Training Completion</t>
  </si>
  <si>
    <t>Bank &amp; Payment Mode Audit</t>
  </si>
  <si>
    <t>All wages paid via bank transfer with IFSC validation; no cash payment above ₹10,000; mode of payment recorded</t>
  </si>
  <si>
    <t>Bank Account Number, IFSC Code, Bank Name, Mode of Wage Payment, Date of Remittance, Net Salary</t>
  </si>
  <si>
    <t>AUDIT READINESS SCORE (Average)</t>
  </si>
  <si>
    <t>STRUCTURED &amp; ENHANCED</t>
  </si>
  <si>
    <t>8.4 / 10.0</t>
  </si>
  <si>
    <t>All sections covered. Implement Compliance Calendar, Power Automate alerts, and regular audits for 10/10.</t>
  </si>
  <si>
    <t>All 515 columns across 15 sections — COLUMN_MAP &amp; REGISTER_INTERLINK sheets</t>
  </si>
  <si>
    <t>Name of Employee / Workman</t>
  </si>
  <si>
    <t>Act/Omission for which Fine Imposed</t>
  </si>
  <si>
    <t>Nature/ Particulars of damage or loss</t>
  </si>
  <si>
    <t>Estimated / Amount of Damage / Loss</t>
  </si>
  <si>
    <t>Total Overtime Hours Worked</t>
  </si>
  <si>
    <t>Conveyance Allowance</t>
  </si>
  <si>
    <t>Special / Other Allowance</t>
  </si>
  <si>
    <t>Wage rate with particulars or unit in case of piecework / Actual rates of wages payable</t>
  </si>
  <si>
    <t>Employee Gender</t>
  </si>
  <si>
    <t>Nomination Form Submitted (Yes/No) Gratuity form F</t>
  </si>
  <si>
    <t>PF Member ID</t>
  </si>
  <si>
    <t>Employer EDLI wages (same as Basic)</t>
  </si>
  <si>
    <t>Total Employer Contribution (₹)</t>
  </si>
  <si>
    <t>Total Member + Employer (₹)</t>
  </si>
  <si>
    <t>ESIC Employee 0.75% (₹)</t>
  </si>
  <si>
    <t>ESIC Employer 3.25% (₹)</t>
  </si>
  <si>
    <t>Total ESIC (₹)</t>
  </si>
  <si>
    <t>ESIC Challan No</t>
  </si>
  <si>
    <t>PF date of Remittance</t>
  </si>
  <si>
    <t>ESIC date of Remittance</t>
  </si>
  <si>
    <t>ESIC Reason Detail</t>
  </si>
  <si>
    <t>No. and date of certificate of  registration of the establishment in relation to which the new licence is applied for / License No Contractor</t>
  </si>
  <si>
    <t>Amount of advance given</t>
  </si>
  <si>
    <t>Date of advance given</t>
  </si>
  <si>
    <t xml:space="preserve">Name and Address of Contractor / Postal address </t>
  </si>
  <si>
    <t>Type of Establishment (Factory/Shop/Est.) / Contractor or Supplier</t>
  </si>
  <si>
    <t>Nature of Work of Contract employee</t>
  </si>
  <si>
    <t>Reason for Overtime</t>
  </si>
  <si>
    <t>Employee Age</t>
  </si>
  <si>
    <t>Principal Employer Nature of work done</t>
  </si>
  <si>
    <t>Name and Address of the establishment Contractor</t>
  </si>
  <si>
    <t>Contractor Name and address of the establishment registered</t>
  </si>
  <si>
    <t>Total Damages/ Loss of pay</t>
  </si>
  <si>
    <t>EL/ Leave earned</t>
  </si>
  <si>
    <t>Contractor's Nature/ type of work</t>
  </si>
  <si>
    <t>Name of Employer / Proprietor</t>
  </si>
  <si>
    <t>Address of Employer</t>
  </si>
  <si>
    <t>Proprietor PAN</t>
  </si>
  <si>
    <t>Proprietor aadhaar</t>
  </si>
  <si>
    <t>Proprietor Contact details</t>
  </si>
  <si>
    <t>Proprietor Contact employee ID</t>
  </si>
  <si>
    <t>Proprietor Contact email ID</t>
  </si>
  <si>
    <t>Name of Authorized person name 1</t>
  </si>
  <si>
    <t>Address of Authorized person name 1</t>
  </si>
  <si>
    <t>Authorized person name 1 PAN</t>
  </si>
  <si>
    <t>Authorized person name 1 aadhaar</t>
  </si>
  <si>
    <t>Authorized person name 1 Contact details</t>
  </si>
  <si>
    <t>Authorized person name 1 Contact employee ID</t>
  </si>
  <si>
    <t>Authorized person name 1 Contact email ID</t>
  </si>
  <si>
    <t>Name of Authorized person name 2</t>
  </si>
  <si>
    <t>Address of Authorized person name 2</t>
  </si>
  <si>
    <t>Authorized person name 2 Contact employee ID</t>
  </si>
  <si>
    <t>Authorized person name 2 Contact email ID</t>
  </si>
  <si>
    <t>Authorized person name 2 Contact details</t>
  </si>
  <si>
    <t>Authorized person name 2 aadhaar</t>
  </si>
  <si>
    <t>Authorized person name 2 PAN</t>
  </si>
  <si>
    <t>PAN / TAN of Establishment</t>
  </si>
  <si>
    <t>Ward / Circle / Zone</t>
  </si>
  <si>
    <t>Principal employer / company's GSTIN</t>
  </si>
  <si>
    <t>Date of Commencement of Business</t>
  </si>
  <si>
    <t>Proprietor Father's name</t>
  </si>
  <si>
    <t>Authorized person name 1 Father's name</t>
  </si>
  <si>
    <t>Authorized person name 2 Father's name</t>
  </si>
  <si>
    <t>V.D.A (VDA)</t>
  </si>
  <si>
    <t>Night Shift allowances (NFS)</t>
  </si>
  <si>
    <t>D.A (DA)</t>
  </si>
  <si>
    <t>LWF Challan No</t>
  </si>
  <si>
    <t>PT Challan No</t>
  </si>
  <si>
    <t>EPF Date of Joining / For Apprenticeship EPF is N.A (DOJ)</t>
  </si>
  <si>
    <t>EPF Date of Exit / For Apprenticeship EPF is N.A (DOE)</t>
  </si>
  <si>
    <t>Date of Gratuity Eligibility (4.6 years)</t>
  </si>
  <si>
    <t>Employee
Explanation Fine</t>
  </si>
  <si>
    <t>Date of payment or deduction</t>
  </si>
  <si>
    <t>APPRENTICESHIP / Employee Date of
Commencement</t>
  </si>
  <si>
    <t>Contract
Signed By
(Employer)</t>
  </si>
  <si>
    <t>Contract
Signed By
(Apprentice)</t>
  </si>
  <si>
    <t>Contract
Signed By
(Contractor/ Supplier)</t>
  </si>
  <si>
    <t>Total number of Week Offs /Holidays/ leaves</t>
  </si>
  <si>
    <t>Maternity Benefit Eligibility Types</t>
  </si>
  <si>
    <t>MATERNITY No. of Days Leave Availed</t>
  </si>
  <si>
    <t>Medical Certificate No. /  Maternity and others</t>
  </si>
  <si>
    <t>Date of Medical Certificate</t>
  </si>
  <si>
    <t>Col #</t>
  </si>
  <si>
    <t>Col Letter</t>
  </si>
  <si>
    <t>A</t>
  </si>
  <si>
    <t>B</t>
  </si>
  <si>
    <t>C</t>
  </si>
  <si>
    <t>D</t>
  </si>
  <si>
    <t>E</t>
  </si>
  <si>
    <t>F</t>
  </si>
  <si>
    <t>G</t>
  </si>
  <si>
    <t>H</t>
  </si>
  <si>
    <t>I</t>
  </si>
  <si>
    <t>J</t>
  </si>
  <si>
    <t>K</t>
  </si>
  <si>
    <t>L</t>
  </si>
  <si>
    <t>M</t>
  </si>
  <si>
    <t>N</t>
  </si>
  <si>
    <t>O</t>
  </si>
  <si>
    <t>P</t>
  </si>
  <si>
    <t>Q</t>
  </si>
  <si>
    <t>R</t>
  </si>
  <si>
    <t>S</t>
  </si>
  <si>
    <t>T</t>
  </si>
  <si>
    <t>U</t>
  </si>
  <si>
    <t>V</t>
  </si>
  <si>
    <t>W</t>
  </si>
  <si>
    <t>X</t>
  </si>
  <si>
    <t>Z</t>
  </si>
  <si>
    <t>AA</t>
  </si>
  <si>
    <t>AB</t>
  </si>
  <si>
    <t>AC</t>
  </si>
  <si>
    <t>AD</t>
  </si>
  <si>
    <t>AE</t>
  </si>
  <si>
    <t>AF</t>
  </si>
  <si>
    <t>Name and Address of Contractor / Postal address</t>
  </si>
  <si>
    <t>AG</t>
  </si>
  <si>
    <t>AH</t>
  </si>
  <si>
    <t>AI</t>
  </si>
  <si>
    <t>AJ</t>
  </si>
  <si>
    <t>AK</t>
  </si>
  <si>
    <t>AL</t>
  </si>
  <si>
    <t>AM</t>
  </si>
  <si>
    <t>AN</t>
  </si>
  <si>
    <t>AO</t>
  </si>
  <si>
    <t>AP</t>
  </si>
  <si>
    <t>AQ</t>
  </si>
  <si>
    <t>AR</t>
  </si>
  <si>
    <t>AS</t>
  </si>
  <si>
    <t>AT</t>
  </si>
  <si>
    <t>AU</t>
  </si>
  <si>
    <t>AV</t>
  </si>
  <si>
    <t>AW</t>
  </si>
  <si>
    <t>AX</t>
  </si>
  <si>
    <t>AY</t>
  </si>
  <si>
    <t>AZ</t>
  </si>
  <si>
    <t>BA</t>
  </si>
  <si>
    <t>BB</t>
  </si>
  <si>
    <t>BC</t>
  </si>
  <si>
    <t>BD</t>
  </si>
  <si>
    <t>BE</t>
  </si>
  <si>
    <t>BF</t>
  </si>
  <si>
    <t>BG</t>
  </si>
  <si>
    <t>BH</t>
  </si>
  <si>
    <t>BI</t>
  </si>
  <si>
    <t>BJ</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</si>
  <si>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</si>
  <si>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</si>
  <si>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</si>
  <si>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</si>
  <si>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</si>
  <si>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</si>
  <si>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</si>
  <si>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</si>
  <si>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</si>
  <si>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</si>
  <si>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</si>
  <si>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</si>
  <si>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</si>
  <si>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</si>
  <si>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</si>
  <si>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</si>
  <si>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</si>
  <si>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</si>
  <si>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</si>
  <si>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</si>
  <si>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</si>
  <si>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</si>
  <si>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</si>
  <si>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</si>
  <si>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</si>
  <si>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CJ</t>
  </si>
  <si>
    <t>CK</t>
  </si>
  <si>
    <t>CL</t>
  </si>
  <si>
    <t>CM</t>
  </si>
  <si>
    <t>CN</t>
  </si>
  <si>
    <t>CO</t>
  </si>
  <si>
    <t>CP</t>
  </si>
  <si>
    <t>CQ</t>
  </si>
  <si>
    <t>CR</t>
  </si>
  <si>
    <t>CS</t>
  </si>
  <si>
    <t>CT</t>
  </si>
  <si>
    <t>CU</t>
  </si>
  <si>
    <t>CV</t>
  </si>
  <si>
    <t>CW</t>
  </si>
  <si>
    <t>CX</t>
  </si>
  <si>
    <t>CY</t>
  </si>
  <si>
    <t>CZ</t>
  </si>
  <si>
    <t>DB</t>
  </si>
  <si>
    <t>DC</t>
  </si>
  <si>
    <t>DD</t>
  </si>
  <si>
    <t>DE</t>
  </si>
  <si>
    <t>DF</t>
  </si>
  <si>
    <t>DG</t>
  </si>
  <si>
    <t>DH</t>
  </si>
  <si>
    <t>DI</t>
  </si>
  <si>
    <t>DJ</t>
  </si>
  <si>
    <t>DK</t>
  </si>
  <si>
    <t>DL</t>
  </si>
  <si>
    <t>DM</t>
  </si>
  <si>
    <t>DN</t>
  </si>
  <si>
    <t>DO</t>
  </si>
  <si>
    <t>DP</t>
  </si>
  <si>
    <t>DQ</t>
  </si>
  <si>
    <t>DR</t>
  </si>
  <si>
    <t>DS</t>
  </si>
  <si>
    <t>DT</t>
  </si>
  <si>
    <t>DU</t>
  </si>
  <si>
    <t>DV</t>
  </si>
  <si>
    <t>DW</t>
  </si>
  <si>
    <t>DX</t>
  </si>
  <si>
    <t>DY</t>
  </si>
  <si>
    <t>DZ</t>
  </si>
  <si>
    <t>EA</t>
  </si>
  <si>
    <t>EB</t>
  </si>
  <si>
    <t>EC</t>
  </si>
  <si>
    <t>ED</t>
  </si>
  <si>
    <t>EE</t>
  </si>
  <si>
    <t>EF</t>
  </si>
  <si>
    <t>EG</t>
  </si>
  <si>
    <t>EH</t>
  </si>
  <si>
    <t>EI</t>
  </si>
  <si>
    <t>EJ</t>
  </si>
  <si>
    <t>EK</t>
  </si>
  <si>
    <t>EL</t>
  </si>
  <si>
    <t>EM</t>
  </si>
  <si>
    <t>EN</t>
  </si>
  <si>
    <t>EO</t>
  </si>
  <si>
    <t>2.0</t>
  </si>
  <si>
    <t>EP</t>
  </si>
  <si>
    <t>3.0</t>
  </si>
  <si>
    <t>EQ</t>
  </si>
  <si>
    <t>4.0</t>
  </si>
  <si>
    <t>ER</t>
  </si>
  <si>
    <t>5.0</t>
  </si>
  <si>
    <t>ES</t>
  </si>
  <si>
    <t>6.0</t>
  </si>
  <si>
    <t>ET</t>
  </si>
  <si>
    <t>7.0</t>
  </si>
  <si>
    <t>EU</t>
  </si>
  <si>
    <t>8.0</t>
  </si>
  <si>
    <t>EV</t>
  </si>
  <si>
    <t>9.0</t>
  </si>
  <si>
    <t>EW</t>
  </si>
  <si>
    <t>10.0</t>
  </si>
  <si>
    <t>EX</t>
  </si>
  <si>
    <t>11.0</t>
  </si>
  <si>
    <t>EY</t>
  </si>
  <si>
    <t>12.0</t>
  </si>
  <si>
    <t>EZ</t>
  </si>
  <si>
    <t>13.0</t>
  </si>
  <si>
    <t>FA</t>
  </si>
  <si>
    <t>14.0</t>
  </si>
  <si>
    <t>FB</t>
  </si>
  <si>
    <t>15.0</t>
  </si>
  <si>
    <t>FC</t>
  </si>
  <si>
    <t>16.0</t>
  </si>
  <si>
    <t>FD</t>
  </si>
  <si>
    <t>17.0</t>
  </si>
  <si>
    <t>FE</t>
  </si>
  <si>
    <t>18.0</t>
  </si>
  <si>
    <t>FF</t>
  </si>
  <si>
    <t>19.0</t>
  </si>
  <si>
    <t>FG</t>
  </si>
  <si>
    <t>20.0</t>
  </si>
  <si>
    <t>FH</t>
  </si>
  <si>
    <t>21.0</t>
  </si>
  <si>
    <t>FI</t>
  </si>
  <si>
    <t>22.0</t>
  </si>
  <si>
    <t>FJ</t>
  </si>
  <si>
    <t>23.0</t>
  </si>
  <si>
    <t>FK</t>
  </si>
  <si>
    <t>24.0</t>
  </si>
  <si>
    <t>FL</t>
  </si>
  <si>
    <t>25.0</t>
  </si>
  <si>
    <t>FM</t>
  </si>
  <si>
    <t>26.0</t>
  </si>
  <si>
    <t>FN</t>
  </si>
  <si>
    <t>27.0</t>
  </si>
  <si>
    <t>FO</t>
  </si>
  <si>
    <t>28.0</t>
  </si>
  <si>
    <t>FP</t>
  </si>
  <si>
    <t>29.0</t>
  </si>
  <si>
    <t>FQ</t>
  </si>
  <si>
    <t>30.0</t>
  </si>
  <si>
    <t>FR</t>
  </si>
  <si>
    <t>31.0</t>
  </si>
  <si>
    <t>FS</t>
  </si>
  <si>
    <t>FT</t>
  </si>
  <si>
    <t>FU</t>
  </si>
  <si>
    <t>FV</t>
  </si>
  <si>
    <t>FW</t>
  </si>
  <si>
    <t>FX</t>
  </si>
  <si>
    <t>FY</t>
  </si>
  <si>
    <t>FZ</t>
  </si>
  <si>
    <t>GA</t>
  </si>
  <si>
    <t>GB</t>
  </si>
  <si>
    <t>GC</t>
  </si>
  <si>
    <t>GD</t>
  </si>
  <si>
    <t>GE</t>
  </si>
  <si>
    <t>GF</t>
  </si>
  <si>
    <t>GG</t>
  </si>
  <si>
    <t>GH</t>
  </si>
  <si>
    <t>GI</t>
  </si>
  <si>
    <t>GJ</t>
  </si>
  <si>
    <t>GK</t>
  </si>
  <si>
    <t>GL</t>
  </si>
  <si>
    <t>GM</t>
  </si>
  <si>
    <t>GN</t>
  </si>
  <si>
    <t>GO</t>
  </si>
  <si>
    <t>GP</t>
  </si>
  <si>
    <t>GQ</t>
  </si>
  <si>
    <t>GR</t>
  </si>
  <si>
    <t>GS</t>
  </si>
  <si>
    <t>GT</t>
  </si>
  <si>
    <t>GU</t>
  </si>
  <si>
    <t>GV</t>
  </si>
  <si>
    <t>GW</t>
  </si>
  <si>
    <t>GX</t>
  </si>
  <si>
    <t>GY</t>
  </si>
  <si>
    <t>GZ</t>
  </si>
  <si>
    <t>HA</t>
  </si>
  <si>
    <t>HB</t>
  </si>
  <si>
    <t>HC</t>
  </si>
  <si>
    <t>HD</t>
  </si>
  <si>
    <t>HE</t>
  </si>
  <si>
    <t>HF</t>
  </si>
  <si>
    <t>HG</t>
  </si>
  <si>
    <t>HH</t>
  </si>
  <si>
    <t>HI</t>
  </si>
  <si>
    <t>HJ</t>
  </si>
  <si>
    <t>HK</t>
  </si>
  <si>
    <t>HL</t>
  </si>
  <si>
    <t>HM</t>
  </si>
  <si>
    <t>HN</t>
  </si>
  <si>
    <t>HO</t>
  </si>
  <si>
    <t>HP</t>
  </si>
  <si>
    <t>HQ</t>
  </si>
  <si>
    <t>HR</t>
  </si>
  <si>
    <t>HS</t>
  </si>
  <si>
    <t>HT</t>
  </si>
  <si>
    <t>HU</t>
  </si>
  <si>
    <t>HV</t>
  </si>
  <si>
    <t>HW</t>
  </si>
  <si>
    <t>HX</t>
  </si>
  <si>
    <t>HY</t>
  </si>
  <si>
    <t>HZ</t>
  </si>
  <si>
    <t>IA</t>
  </si>
  <si>
    <t>IB</t>
  </si>
  <si>
    <t>IC</t>
  </si>
  <si>
    <t>ID</t>
  </si>
  <si>
    <t>IE</t>
  </si>
  <si>
    <t>IF</t>
  </si>
  <si>
    <t>IG</t>
  </si>
  <si>
    <t>IH</t>
  </si>
  <si>
    <t>II</t>
  </si>
  <si>
    <t>IJ</t>
  </si>
  <si>
    <t>IK</t>
  </si>
  <si>
    <t>IL</t>
  </si>
  <si>
    <t>IM</t>
  </si>
  <si>
    <t>IN</t>
  </si>
  <si>
    <t>IO</t>
  </si>
  <si>
    <t>IP</t>
  </si>
  <si>
    <t>IQ</t>
  </si>
  <si>
    <t>IR</t>
  </si>
  <si>
    <t>IS</t>
  </si>
  <si>
    <t>IT</t>
  </si>
  <si>
    <t>IU</t>
  </si>
  <si>
    <t>IV</t>
  </si>
  <si>
    <t>IW</t>
  </si>
  <si>
    <t>IX</t>
  </si>
  <si>
    <t>IY</t>
  </si>
  <si>
    <t>IZ</t>
  </si>
  <si>
    <t>JA</t>
  </si>
  <si>
    <t>JB</t>
  </si>
  <si>
    <t>JC</t>
  </si>
  <si>
    <t>JD</t>
  </si>
  <si>
    <t>JE</t>
  </si>
  <si>
    <t>JF</t>
  </si>
  <si>
    <t>JG</t>
  </si>
  <si>
    <t>JH</t>
  </si>
  <si>
    <t>JI</t>
  </si>
  <si>
    <t>JJ</t>
  </si>
  <si>
    <t>JK</t>
  </si>
  <si>
    <t>JL</t>
  </si>
  <si>
    <t>JM</t>
  </si>
  <si>
    <t>JN</t>
  </si>
  <si>
    <t>JO</t>
  </si>
  <si>
    <t>JP</t>
  </si>
  <si>
    <t>JQ</t>
  </si>
  <si>
    <t>JR</t>
  </si>
  <si>
    <t>JS</t>
  </si>
  <si>
    <t>JT</t>
  </si>
  <si>
    <t>JU</t>
  </si>
  <si>
    <t>JV</t>
  </si>
  <si>
    <t>JW</t>
  </si>
  <si>
    <t>JX</t>
  </si>
  <si>
    <t>JZ</t>
  </si>
  <si>
    <t>KA</t>
  </si>
  <si>
    <t>KB</t>
  </si>
  <si>
    <t>KC</t>
  </si>
  <si>
    <t>KD</t>
  </si>
  <si>
    <t>KE</t>
  </si>
  <si>
    <t>KF</t>
  </si>
  <si>
    <t>KG</t>
  </si>
  <si>
    <t>KH</t>
  </si>
  <si>
    <t>KI</t>
  </si>
  <si>
    <t>KJ</t>
  </si>
  <si>
    <t>KK</t>
  </si>
  <si>
    <t>KL</t>
  </si>
  <si>
    <t>KM</t>
  </si>
  <si>
    <t>KN</t>
  </si>
  <si>
    <t>KO</t>
  </si>
  <si>
    <t>KP</t>
  </si>
  <si>
    <t>KQ</t>
  </si>
  <si>
    <t>KR</t>
  </si>
  <si>
    <t>KS</t>
  </si>
  <si>
    <t>KT</t>
  </si>
  <si>
    <t>KU</t>
  </si>
  <si>
    <t>KV</t>
  </si>
  <si>
    <t>KW</t>
  </si>
  <si>
    <t>KX</t>
  </si>
  <si>
    <t>KY</t>
  </si>
  <si>
    <t>KZ</t>
  </si>
  <si>
    <t>LA</t>
  </si>
  <si>
    <t>LB</t>
  </si>
  <si>
    <t>LC</t>
  </si>
  <si>
    <t>LD</t>
  </si>
  <si>
    <t>LE</t>
  </si>
  <si>
    <t>LF</t>
  </si>
  <si>
    <t>LG</t>
  </si>
  <si>
    <t>LH</t>
  </si>
  <si>
    <t>LI</t>
  </si>
  <si>
    <t>LJ</t>
  </si>
  <si>
    <t>LK</t>
  </si>
  <si>
    <t>LL</t>
  </si>
  <si>
    <t>LM</t>
  </si>
  <si>
    <t>LN</t>
  </si>
  <si>
    <t>LO</t>
  </si>
  <si>
    <t>LP</t>
  </si>
  <si>
    <t>LQ</t>
  </si>
  <si>
    <t>LR</t>
  </si>
  <si>
    <t>LS</t>
  </si>
  <si>
    <t>LT</t>
  </si>
  <si>
    <t>LU</t>
  </si>
  <si>
    <t>LV</t>
  </si>
  <si>
    <t>LW</t>
  </si>
  <si>
    <t>LX</t>
  </si>
  <si>
    <t>LY</t>
  </si>
  <si>
    <t>LZ</t>
  </si>
  <si>
    <t>MA</t>
  </si>
  <si>
    <t>MB</t>
  </si>
  <si>
    <t>MC</t>
  </si>
  <si>
    <t>MD</t>
  </si>
  <si>
    <t>ME</t>
  </si>
  <si>
    <t>MF</t>
  </si>
  <si>
    <t>MG</t>
  </si>
  <si>
    <t>MH</t>
  </si>
  <si>
    <t>MI</t>
  </si>
  <si>
    <t>MJ</t>
  </si>
  <si>
    <t>MK</t>
  </si>
  <si>
    <t>ML</t>
  </si>
  <si>
    <t>MM</t>
  </si>
  <si>
    <t>MN</t>
  </si>
  <si>
    <t>MO</t>
  </si>
  <si>
    <t>MP</t>
  </si>
  <si>
    <t>MQ</t>
  </si>
  <si>
    <t>MR</t>
  </si>
  <si>
    <t>MS</t>
  </si>
  <si>
    <t>MT</t>
  </si>
  <si>
    <t>MU</t>
  </si>
  <si>
    <t>MV</t>
  </si>
  <si>
    <t>MW</t>
  </si>
  <si>
    <t>MX</t>
  </si>
  <si>
    <t>MY</t>
  </si>
  <si>
    <t>MZ</t>
  </si>
  <si>
    <t>NA</t>
  </si>
  <si>
    <t>NB</t>
  </si>
  <si>
    <t>NC</t>
  </si>
  <si>
    <t>ND</t>
  </si>
  <si>
    <t>NE</t>
  </si>
  <si>
    <t>NF</t>
  </si>
  <si>
    <t>NG</t>
  </si>
  <si>
    <t>NH</t>
  </si>
  <si>
    <t>NI</t>
  </si>
  <si>
    <t>NJ</t>
  </si>
  <si>
    <t>NK</t>
  </si>
  <si>
    <t>NL</t>
  </si>
  <si>
    <t>NM</t>
  </si>
  <si>
    <t>NN</t>
  </si>
  <si>
    <t>NO</t>
  </si>
  <si>
    <t>NP</t>
  </si>
  <si>
    <t>NQ</t>
  </si>
  <si>
    <t>NR</t>
  </si>
  <si>
    <t>NS</t>
  </si>
  <si>
    <t>NT</t>
  </si>
  <si>
    <t>NU</t>
  </si>
  <si>
    <t>NV</t>
  </si>
  <si>
    <t>NW</t>
  </si>
  <si>
    <t>NX</t>
  </si>
  <si>
    <t>NY</t>
  </si>
  <si>
    <t>NZ</t>
  </si>
  <si>
    <t>OA</t>
  </si>
  <si>
    <t>OB</t>
  </si>
  <si>
    <t>OC</t>
  </si>
  <si>
    <t>OD</t>
  </si>
  <si>
    <t>OE</t>
  </si>
  <si>
    <t>OF</t>
  </si>
  <si>
    <t>OG</t>
  </si>
  <si>
    <t>OH</t>
  </si>
  <si>
    <t>OI</t>
  </si>
  <si>
    <t>OJ</t>
  </si>
  <si>
    <t>OK</t>
  </si>
  <si>
    <t>OL</t>
  </si>
  <si>
    <t>OM</t>
  </si>
  <si>
    <t>ON</t>
  </si>
  <si>
    <t>OO</t>
  </si>
  <si>
    <t>OP</t>
  </si>
  <si>
    <t>OQ</t>
  </si>
  <si>
    <t>OR</t>
  </si>
  <si>
    <t>OS</t>
  </si>
  <si>
    <t>OT</t>
  </si>
  <si>
    <t>OU</t>
  </si>
  <si>
    <t>OV</t>
  </si>
  <si>
    <t>OW</t>
  </si>
  <si>
    <t>OX</t>
  </si>
  <si>
    <t>OY</t>
  </si>
  <si>
    <t>OZ</t>
  </si>
  <si>
    <t>PA</t>
  </si>
  <si>
    <t>PB</t>
  </si>
  <si>
    <t>PC</t>
  </si>
  <si>
    <t>PD</t>
  </si>
  <si>
    <t>PE</t>
  </si>
  <si>
    <t>PF</t>
  </si>
  <si>
    <t>PG</t>
  </si>
  <si>
    <t>PH</t>
  </si>
  <si>
    <t>PI</t>
  </si>
  <si>
    <t>PJ</t>
  </si>
  <si>
    <t>PK</t>
  </si>
  <si>
    <t>PL</t>
  </si>
  <si>
    <t>PM</t>
  </si>
  <si>
    <t>PN</t>
  </si>
  <si>
    <t>PO</t>
  </si>
  <si>
    <t>PP</t>
  </si>
  <si>
    <t>PQ</t>
  </si>
  <si>
    <t>PR</t>
  </si>
  <si>
    <t>PS</t>
  </si>
  <si>
    <t>PU</t>
  </si>
  <si>
    <t>PV</t>
  </si>
  <si>
    <t>PW</t>
  </si>
  <si>
    <t>PX</t>
  </si>
  <si>
    <t>PY</t>
  </si>
  <si>
    <t>PZ</t>
  </si>
  <si>
    <t>QA</t>
  </si>
  <si>
    <t>QB</t>
  </si>
  <si>
    <t>QC</t>
  </si>
  <si>
    <t>QD</t>
  </si>
  <si>
    <t>QE</t>
  </si>
  <si>
    <t>QF</t>
  </si>
  <si>
    <t>QG</t>
  </si>
  <si>
    <t>QH</t>
  </si>
  <si>
    <t>QI</t>
  </si>
  <si>
    <t>QJ</t>
  </si>
  <si>
    <t>QK</t>
  </si>
  <si>
    <t>QL</t>
  </si>
  <si>
    <t>QM</t>
  </si>
  <si>
    <t>QN</t>
  </si>
  <si>
    <t>QO</t>
  </si>
  <si>
    <t>QP</t>
  </si>
  <si>
    <t>QQ</t>
  </si>
  <si>
    <t>QR</t>
  </si>
  <si>
    <t>QS</t>
  </si>
  <si>
    <t>QT</t>
  </si>
  <si>
    <t>QU</t>
  </si>
  <si>
    <t>QV</t>
  </si>
  <si>
    <t>QW</t>
  </si>
  <si>
    <t>QX</t>
  </si>
  <si>
    <t>QY</t>
  </si>
  <si>
    <t>QZ</t>
  </si>
  <si>
    <t>RA</t>
  </si>
  <si>
    <t>RB</t>
  </si>
  <si>
    <t>RC</t>
  </si>
  <si>
    <t>RD</t>
  </si>
  <si>
    <t>RE</t>
  </si>
  <si>
    <t>RF</t>
  </si>
  <si>
    <t>RG</t>
  </si>
  <si>
    <t>RH</t>
  </si>
  <si>
    <t>RI</t>
  </si>
  <si>
    <t>RJ</t>
  </si>
  <si>
    <t>RK</t>
  </si>
  <si>
    <t>RL</t>
  </si>
  <si>
    <t>RM</t>
  </si>
  <si>
    <t>RN</t>
  </si>
  <si>
    <t>RO</t>
  </si>
  <si>
    <t>RP</t>
  </si>
  <si>
    <t>RQ</t>
  </si>
  <si>
    <t>RR</t>
  </si>
  <si>
    <t>RS</t>
  </si>
  <si>
    <t>RT</t>
  </si>
  <si>
    <t>RU</t>
  </si>
  <si>
    <t>RV</t>
  </si>
  <si>
    <t>RW</t>
  </si>
  <si>
    <t>RX</t>
  </si>
  <si>
    <t>RY</t>
  </si>
  <si>
    <t>RZ</t>
  </si>
  <si>
    <t>SA</t>
  </si>
  <si>
    <t>SB</t>
  </si>
  <si>
    <t>SC</t>
  </si>
  <si>
    <t>SD</t>
  </si>
  <si>
    <t>SE</t>
  </si>
  <si>
    <t>SF</t>
  </si>
  <si>
    <t>SG</t>
  </si>
  <si>
    <t>SH</t>
  </si>
  <si>
    <t>SI</t>
  </si>
  <si>
    <t>SJ</t>
  </si>
  <si>
    <t>SK</t>
  </si>
  <si>
    <t>SL</t>
  </si>
  <si>
    <t>SM</t>
  </si>
  <si>
    <t>SN</t>
  </si>
  <si>
    <t>SO</t>
  </si>
  <si>
    <t>SP</t>
  </si>
  <si>
    <t>SQ</t>
  </si>
  <si>
    <t>SR</t>
  </si>
  <si>
    <t>SS</t>
  </si>
  <si>
    <t>ST</t>
  </si>
  <si>
    <t>SU</t>
  </si>
  <si>
    <t>SV</t>
  </si>
  <si>
    <t>SW</t>
  </si>
  <si>
    <t>SX</t>
  </si>
  <si>
    <t>SY</t>
  </si>
  <si>
    <t>SZ</t>
  </si>
  <si>
    <t>TA</t>
  </si>
  <si>
    <t>TB</t>
  </si>
  <si>
    <t>TC</t>
  </si>
  <si>
    <t>TD</t>
  </si>
  <si>
    <t>TE</t>
  </si>
  <si>
    <t>TF</t>
  </si>
  <si>
    <t>TG</t>
  </si>
  <si>
    <t>TH</t>
  </si>
  <si>
    <t>TI</t>
  </si>
  <si>
    <t>TJ</t>
  </si>
  <si>
    <t>TK</t>
  </si>
  <si>
    <t>TL</t>
  </si>
  <si>
    <t>TM</t>
  </si>
  <si>
    <t>TN</t>
  </si>
  <si>
    <t>TO</t>
  </si>
  <si>
    <t>TP</t>
  </si>
  <si>
    <t>TQ</t>
  </si>
  <si>
    <t>TR</t>
  </si>
  <si>
    <t>TS</t>
  </si>
  <si>
    <t>TT</t>
  </si>
  <si>
    <t>TU</t>
  </si>
  <si>
    <t>TV</t>
  </si>
  <si>
    <t>TW</t>
  </si>
  <si>
    <t>TX</t>
  </si>
  <si>
    <t>TY</t>
  </si>
  <si>
    <t>TZ</t>
  </si>
  <si>
    <t>UA</t>
  </si>
  <si>
    <t>UB</t>
  </si>
  <si>
    <t>UC</t>
  </si>
  <si>
    <t>UD</t>
  </si>
  <si>
    <t>UE</t>
  </si>
  <si>
    <t>UF</t>
  </si>
  <si>
    <t>UG</t>
  </si>
  <si>
    <t>UH</t>
  </si>
  <si>
    <t>UI</t>
  </si>
  <si>
    <t>UJ</t>
  </si>
  <si>
    <t>UK</t>
  </si>
  <si>
    <t>UL</t>
  </si>
  <si>
    <t>UM</t>
  </si>
  <si>
    <t>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</si>
</sst>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34" x14ac:knownFonts="1">
    <font>
      <sz val="11"/>
      <color theme="1"/>
      <name val="Calibri"/>
      <family val="2"/>
      <charset val="1"/>
    </font>
    <font>
      <b/>
      <sz val="10"/>
      <color rgb="FFFFFFFF"/>
      <name val="Arial"/>
      <charset val="1"/>
    </font>
    <font>
      <b/>
      <sz val="8"/>
      <color rgb="FFFFFFFF"/>
      <name val="Arial"/>
      <charset val="1"/>
    </font>
    <font>
      <b/>
      <sz val="8"/>
      <color rgb="FF000000"/>
      <name val="Arial"/>
      <charset val="1"/>
    </font>
    <font>
      <b/>
      <sz val="8"/>
      <color rgb="FF1A3C5E"/>
      <name val="Arial"/>
      <charset val="1"/>
    </font>
    <font>
      <sz val="8"/>
      <color rgb="FF000000"/>
      <name val="Arial"/>
      <charset val="1"/>
    </font>
    <font>
      <b/>
      <sz val="8"/>
      <color rgb="FF8B0000"/>
      <name val="Arial"/>
      <charset val="1"/>
    </font>
    <font>
      <b/>
      <sz val="8"/>
      <color rgb="FF2E6DA4"/>
      <name val="Arial"/>
      <charset val="1"/>
    </font>
    <font>
      <b/>
      <sz val="8"/>
      <color rgb="FF1B6B3A"/>
      <name val="Arial"/>
      <charset val="1"/>
    </font>
    <font>
      <b/>
      <sz val="8"/>
      <color rgb="FF7B2D8B"/>
      <name val="Arial"/>
      <charset val="1"/>
    </font>
    <font>
      <b/>
      <sz val="8"/>
      <color rgb="FFB8580A"/>
      <name val="Arial"/>
      <charset val="1"/>
    </font>
    <font>
      <b/>
      <sz val="8"/>
      <color rgb="FF4A235A"/>
      <name val="Arial"/>
      <charset val="1"/>
    </font>
    <font>
      <b/>
      <sz val="8"/>
      <color rgb="FF1A5276"/>
      <name val="Arial"/>
      <charset val="1"/>
    </font>
    <font>
      <b/>
      <sz val="8"/>
      <color rgb="FF515A5A"/>
      <name val="Arial"/>
      <charset val="1"/>
    </font>
    <font>
      <b/>
      <sz val="8"/>
      <color rgb="FF1A6B3A"/>
      <name val="Arial"/>
      <charset val="1"/>
    </font>
    <font>
      <b/>
      <sz val="8"/>
      <color rgb="FF922B21"/>
      <name val="Arial"/>
      <charset val="1"/>
    </font>
    <font>
      <b/>
      <sz val="8"/>
      <color rgb="FF784212"/>
      <name val="Arial"/>
      <charset val="1"/>
    </font>
    <font>
      <b/>
      <sz val="8"/>
      <color rgb="FF9B2335"/>
      <name val="Arial"/>
      <charset val="1"/>
    </font>
    <font>
      <b/>
      <sz val="8"/>
      <color rgb="FF2C3E50"/>
      <name val="Arial"/>
      <charset val="1"/>
    </font>
    <font>
      <b/>
      <sz val="8"/>
      <name val="Arial"/>
      <charset val="1"/>
    </font>
    <font>
      <sz val="8"/>
      <name val="Arial"/>
      <charset val="1"/>
    </font>
    <font>
      <sz val="8"/>
      <color rgb="FF8B0000"/>
      <name val="Arial"/>
      <charset val="1"/>
    </font>
    <font>
      <b/>
      <sz val="14"/>
      <color rgb="FFFFFFFF"/>
      <name val="Arial"/>
      <charset val="1"/>
    </font>
    <font>
      <b/>
      <sz val="13"/>
      <color rgb="FFFFD700"/>
      <name val="Arial"/>
      <charset val="1"/>
    </font>
    <font>
      <b/>
      <sz val="9"/>
      <name val="Arial"/>
      <charset val="1"/>
    </font>
    <font>
      <sz val="9"/>
      <color rgb="FF000000"/>
      <name val="Arial"/>
      <charset val="1"/>
    </font>
    <font>
      <b/>
      <sz val="12"/>
      <color rgb="FFFFFFFF"/>
      <name val="Arial"/>
      <charset val="1"/>
    </font>
    <font>
      <b/>
      <sz val="9"/>
      <color rgb="FF000000"/>
      <name val="Arial"/>
      <charset val="1"/>
    </font>
    <font>
      <sz val="9"/>
      <name val="Arial"/>
      <charset val="1"/>
    </font>
    <font>
      <b/>
      <sz val="8"/>
      <color rgb="FFC0392B"/>
      <name val="Arial"/>
      <charset val="1"/>
    </font>
    <font>
      <b/>
      <sz val="8"/>
      <color rgb="FFE67E22"/>
      <name val="Arial"/>
      <charset val="1"/>
    </font>
    <font>
      <b/>
      <sz val="8"/>
      <color rgb="FFF39C12"/>
      <name val="Arial"/>
      <charset val="1"/>
    </font>
    <font>
      <b/>
      <sz val="8"/>
      <color rgb="FFFFFFFF"/>
      <name val="Arial"/>
      <family val="2"/>
    </font>
    <font>
      <sz val="9"/>
      <color rgb="FFFFFFFF"/>
      <name val="Arial"/>
      <charset val="1"/>
    </font>
  </fonts>
  <fills count="48">
    <fill>
      <patternFill patternType="none"/>
    </fill>
    <fill>
      <patternFill patternType="gray125"/>
    </fill>
    <fill>
      <patternFill patternType="solid">
        <fgColor rgb="FF1A3C5E"/>
        <bgColor rgb="FF2C3E50"/>
      </patternFill>
    </fill>
    <fill>
      <patternFill patternType="solid">
        <fgColor rgb="FF2E6DA4"/>
        <bgColor rgb="FF1A5276"/>
      </patternFill>
    </fill>
    <fill>
      <patternFill patternType="solid">
        <fgColor rgb="FF1B6B3A"/>
        <bgColor rgb="FF1A6B3A"/>
      </patternFill>
    </fill>
    <fill>
      <patternFill patternType="solid">
        <fgColor rgb="FF7B2D8B"/>
        <bgColor rgb="FF4A235A"/>
      </patternFill>
    </fill>
    <fill>
      <patternFill patternType="solid">
        <fgColor rgb="FFB8580A"/>
        <bgColor rgb="FFC0392B"/>
      </patternFill>
    </fill>
    <fill>
      <patternFill patternType="solid">
        <fgColor rgb="FF8B0000"/>
        <bgColor rgb="FF800000"/>
      </patternFill>
    </fill>
    <fill>
      <patternFill patternType="solid">
        <fgColor rgb="FF4A235A"/>
        <bgColor rgb="FF2C3E50"/>
      </patternFill>
    </fill>
    <fill>
      <patternFill patternType="solid">
        <fgColor rgb="FF1A5276"/>
        <bgColor rgb="FF1A3C5E"/>
      </patternFill>
    </fill>
    <fill>
      <patternFill patternType="solid">
        <fgColor rgb="FF515A5A"/>
        <bgColor rgb="FF2C3E50"/>
      </patternFill>
    </fill>
    <fill>
      <patternFill patternType="solid">
        <fgColor rgb="FF1A6B3A"/>
        <bgColor rgb="FF1B6B3A"/>
      </patternFill>
    </fill>
    <fill>
      <patternFill patternType="solid">
        <fgColor rgb="FF922B21"/>
        <bgColor rgb="FF9B2335"/>
      </patternFill>
    </fill>
    <fill>
      <patternFill patternType="solid">
        <fgColor rgb="FF784212"/>
        <bgColor rgb="FF922B21"/>
      </patternFill>
    </fill>
    <fill>
      <patternFill patternType="solid">
        <fgColor rgb="FF9B2335"/>
        <bgColor rgb="FF922B21"/>
      </patternFill>
    </fill>
    <fill>
      <patternFill patternType="solid">
        <fgColor rgb="FF2C3E50"/>
        <bgColor rgb="FF1A3C5E"/>
      </patternFill>
    </fill>
    <fill>
      <patternFill patternType="solid">
        <fgColor rgb="FFD6EAF8"/>
        <bgColor rgb="FFD0E4F7"/>
      </patternFill>
    </fill>
    <fill>
      <patternFill patternType="solid">
        <fgColor rgb="FFFFFFFF"/>
        <bgColor rgb="FFFDEDEC"/>
      </patternFill>
    </fill>
    <fill>
      <patternFill patternType="solid">
        <fgColor rgb="FFD0E4F7"/>
        <bgColor rgb="FFD6EAF8"/>
      </patternFill>
    </fill>
    <fill>
      <patternFill patternType="solid">
        <fgColor rgb="FFD5F5E3"/>
        <bgColor rgb="FFD6EAF8"/>
      </patternFill>
    </fill>
    <fill>
      <patternFill patternType="solid">
        <fgColor rgb="FFE8DAEF"/>
        <bgColor rgb="FFFADBD8"/>
      </patternFill>
    </fill>
    <fill>
      <patternFill patternType="solid">
        <fgColor rgb="FFFDEBD0"/>
        <bgColor rgb="FFFDEDEC"/>
      </patternFill>
    </fill>
    <fill>
      <patternFill patternType="solid">
        <fgColor rgb="FFFADBD8"/>
        <bgColor rgb="FFFCE4EC"/>
      </patternFill>
    </fill>
    <fill>
      <patternFill patternType="solid">
        <fgColor rgb="FFEAECEE"/>
        <bgColor rgb="FFFDEDEC"/>
      </patternFill>
    </fill>
    <fill>
      <patternFill patternType="solid">
        <fgColor rgb="FFFDEDEC"/>
        <bgColor rgb="FFFCE4EC"/>
      </patternFill>
    </fill>
    <fill>
      <patternFill patternType="solid">
        <fgColor rgb="FFFCE4EC"/>
        <bgColor rgb="FFFDEDEC"/>
      </patternFill>
    </fill>
    <fill>
      <patternFill patternType="solid">
        <fgColor rgb="FFFFD700"/>
        <bgColor rgb="FFF39C12"/>
      </patternFill>
    </fill>
    <fill>
      <patternFill patternType="solid">
        <fgColor rgb="FFFFF9C4"/>
        <bgColor rgb="FFFDEBD0"/>
      </patternFill>
    </fill>
    <fill>
      <patternFill patternType="solid">
        <fgColor rgb="FFFFE0B2"/>
        <bgColor rgb="FFFDEBD0"/>
      </patternFill>
    </fill>
    <fill>
      <patternFill patternType="solid">
        <fgColor rgb="FFFFCCCC"/>
        <bgColor rgb="FFFADBD8"/>
      </patternFill>
    </fill>
    <fill>
      <patternFill patternType="solid">
        <fgColor rgb="FF1F4E79"/>
        <bgColor rgb="FF2F5496"/>
      </patternFill>
    </fill>
    <fill>
      <patternFill patternType="solid">
        <fgColor rgb="FF2E4057"/>
        <bgColor rgb="FF404040"/>
      </patternFill>
    </fill>
    <fill>
      <patternFill patternType="solid">
        <fgColor rgb="FFEBF3FB"/>
        <bgColor rgb="FFF5F5F5"/>
      </patternFill>
    </fill>
    <fill>
      <patternFill patternType="solid">
        <fgColor rgb="FFFFFFFF"/>
        <bgColor rgb="FFFAFAFA"/>
      </patternFill>
    </fill>
    <fill>
      <patternFill patternType="solid">
        <fgColor rgb="FF2E75B6"/>
        <bgColor rgb="FF4A86C8"/>
      </patternFill>
    </fill>
    <fill>
      <patternFill patternType="solid">
        <fgColor rgb="FF2F5496"/>
        <bgColor rgb="FF1F4E79"/>
      </patternFill>
    </fill>
    <fill>
      <patternFill patternType="solid">
        <fgColor rgb="FF833C00"/>
        <bgColor rgb="FF4A4A4A"/>
      </patternFill>
    </fill>
    <fill>
      <patternFill patternType="solid">
        <fgColor rgb="FF375623"/>
        <bgColor rgb="FF1E5631"/>
      </patternFill>
    </fill>
    <fill>
      <patternFill patternType="solid">
        <fgColor rgb="FF7B2D8B"/>
        <bgColor rgb="FF800080"/>
      </patternFill>
    </fill>
    <fill>
      <patternFill patternType="solid">
        <fgColor rgb="FFC00000"/>
        <bgColor rgb="FFFF0000"/>
      </patternFill>
    </fill>
    <fill>
      <patternFill patternType="solid">
        <fgColor rgb="FF404040"/>
        <bgColor rgb="FF4A4A4A"/>
      </patternFill>
    </fill>
    <fill>
      <patternFill patternType="solid">
        <fgColor rgb="FF0070C0"/>
        <bgColor rgb="FF008080"/>
      </patternFill>
    </fill>
    <fill>
      <patternFill patternType="solid">
        <fgColor rgb="FF00B0F0"/>
        <bgColor rgb="FF0070C0"/>
      </patternFill>
    </fill>
    <fill>
      <patternFill patternType="solid">
        <fgColor rgb="FFFF0000"/>
        <bgColor rgb="FFC00000"/>
      </patternFill>
    </fill>
    <fill>
      <patternFill patternType="solid">
        <fgColor rgb="FFED7D31"/>
        <bgColor rgb="FFC55A11"/>
      </patternFill>
    </fill>
    <fill>
      <patternFill patternType="solid">
        <fgColor rgb="FFFF69B4"/>
        <bgColor rgb="FFC05080"/>
      </patternFill>
    </fill>
    <fill>
      <patternFill patternType="solid">
        <fgColor rgb="FF7F7F7F"/>
        <bgColor rgb="FF4A86C8"/>
      </patternFill>
    </fill>
    <fill>
      <patternFill patternType="solid">
        <fgColor rgb="FF1E5631"/>
        <bgColor rgb="FF375623"/>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54">
    <xf numFmtId="0" fontId="0" fillId="0" borderId="0" xfId="0"/>
    <xf numFmtId="0" fontId="1" fillId="15"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3" fillId="16" borderId="1" xfId="0" applyFont="1" applyFill="1" applyBorder="1" applyAlignment="1">
      <alignment horizontal="left" vertical="top" wrapText="1"/>
    </xf>
    <xf numFmtId="0" fontId="4" fillId="16" borderId="1" xfId="0" applyFont="1" applyFill="1" applyBorder="1" applyAlignment="1">
      <alignment horizontal="left" vertical="top" wrapText="1"/>
    </xf>
    <xf numFmtId="0" fontId="5" fillId="16" borderId="1" xfId="0" applyFont="1" applyFill="1" applyBorder="1" applyAlignment="1">
      <alignment horizontal="left" vertical="top" wrapText="1"/>
    </xf>
    <xf numFmtId="0" fontId="6" fillId="16" borderId="1" xfId="0" applyFont="1" applyFill="1" applyBorder="1" applyAlignment="1">
      <alignment horizontal="left" vertical="top" wrapText="1"/>
    </xf>
    <xf numFmtId="0" fontId="3" fillId="17" borderId="1" xfId="0" applyFont="1" applyFill="1" applyBorder="1" applyAlignment="1">
      <alignment horizontal="left" vertical="top" wrapText="1"/>
    </xf>
    <xf numFmtId="0" fontId="5" fillId="17" borderId="1" xfId="0" applyFont="1" applyFill="1" applyBorder="1" applyAlignment="1">
      <alignment horizontal="left" vertical="top" wrapText="1"/>
    </xf>
    <xf numFmtId="0" fontId="6" fillId="17" borderId="1" xfId="0" applyFont="1" applyFill="1" applyBorder="1" applyAlignment="1">
      <alignment horizontal="left" vertical="top" wrapText="1"/>
    </xf>
    <xf numFmtId="0" fontId="7" fillId="18" borderId="1" xfId="0" applyFont="1" applyFill="1" applyBorder="1" applyAlignment="1">
      <alignment horizontal="left" vertical="top" wrapText="1"/>
    </xf>
    <xf numFmtId="0" fontId="3" fillId="18" borderId="1" xfId="0" applyFont="1" applyFill="1" applyBorder="1" applyAlignment="1">
      <alignment horizontal="left" vertical="top" wrapText="1"/>
    </xf>
    <xf numFmtId="0" fontId="5" fillId="18" borderId="1" xfId="0" applyFont="1" applyFill="1" applyBorder="1" applyAlignment="1">
      <alignment horizontal="left" vertical="top" wrapText="1"/>
    </xf>
    <xf numFmtId="0" fontId="6" fillId="18" borderId="1" xfId="0" applyFont="1" applyFill="1" applyBorder="1" applyAlignment="1">
      <alignment horizontal="left" vertical="top" wrapText="1"/>
    </xf>
    <xf numFmtId="0" fontId="8" fillId="19" borderId="1" xfId="0" applyFont="1" applyFill="1" applyBorder="1" applyAlignment="1">
      <alignment horizontal="left" vertical="top" wrapText="1"/>
    </xf>
    <xf numFmtId="0" fontId="3" fillId="19" borderId="1" xfId="0" applyFont="1" applyFill="1" applyBorder="1" applyAlignment="1">
      <alignment horizontal="left" vertical="top" wrapText="1"/>
    </xf>
    <xf numFmtId="0" fontId="5" fillId="19" borderId="1" xfId="0" applyFont="1" applyFill="1" applyBorder="1" applyAlignment="1">
      <alignment horizontal="left" vertical="top" wrapText="1"/>
    </xf>
    <xf numFmtId="0" fontId="6" fillId="19" borderId="1" xfId="0" applyFont="1" applyFill="1" applyBorder="1" applyAlignment="1">
      <alignment horizontal="left" vertical="top" wrapText="1"/>
    </xf>
    <xf numFmtId="0" fontId="3" fillId="20" borderId="1" xfId="0" applyFont="1" applyFill="1" applyBorder="1" applyAlignment="1">
      <alignment horizontal="left" vertical="top" wrapText="1"/>
    </xf>
    <xf numFmtId="0" fontId="9" fillId="20" borderId="1" xfId="0" applyFont="1" applyFill="1" applyBorder="1" applyAlignment="1">
      <alignment horizontal="left" vertical="top" wrapText="1"/>
    </xf>
    <xf numFmtId="0" fontId="5" fillId="20" borderId="1" xfId="0" applyFont="1" applyFill="1" applyBorder="1" applyAlignment="1">
      <alignment horizontal="left" vertical="top" wrapText="1"/>
    </xf>
    <xf numFmtId="0" fontId="6" fillId="20" borderId="1" xfId="0" applyFont="1" applyFill="1" applyBorder="1" applyAlignment="1">
      <alignment horizontal="left" vertical="top" wrapText="1"/>
    </xf>
    <xf numFmtId="0" fontId="10" fillId="21" borderId="1" xfId="0" applyFont="1" applyFill="1" applyBorder="1" applyAlignment="1">
      <alignment horizontal="left" vertical="top" wrapText="1"/>
    </xf>
    <xf numFmtId="0" fontId="3" fillId="21" borderId="1" xfId="0" applyFont="1" applyFill="1" applyBorder="1" applyAlignment="1">
      <alignment horizontal="left" vertical="top" wrapText="1"/>
    </xf>
    <xf numFmtId="0" fontId="5" fillId="21" borderId="1" xfId="0" applyFont="1" applyFill="1" applyBorder="1" applyAlignment="1">
      <alignment horizontal="left" vertical="top" wrapText="1"/>
    </xf>
    <xf numFmtId="0" fontId="6" fillId="22" borderId="1" xfId="0" applyFont="1" applyFill="1" applyBorder="1" applyAlignment="1">
      <alignment horizontal="left" vertical="top" wrapText="1"/>
    </xf>
    <xf numFmtId="0" fontId="3" fillId="22" borderId="1" xfId="0" applyFont="1" applyFill="1" applyBorder="1" applyAlignment="1">
      <alignment horizontal="left" vertical="top" wrapText="1"/>
    </xf>
    <xf numFmtId="0" fontId="5" fillId="22" borderId="1" xfId="0" applyFont="1" applyFill="1" applyBorder="1" applyAlignment="1">
      <alignment horizontal="left" vertical="top" wrapText="1"/>
    </xf>
    <xf numFmtId="0" fontId="11" fillId="20" borderId="1" xfId="0" applyFont="1" applyFill="1" applyBorder="1" applyAlignment="1">
      <alignment horizontal="left" vertical="top" wrapText="1"/>
    </xf>
    <xf numFmtId="0" fontId="12" fillId="16" borderId="1" xfId="0" applyFont="1" applyFill="1" applyBorder="1" applyAlignment="1">
      <alignment horizontal="left" vertical="top" wrapText="1"/>
    </xf>
    <xf numFmtId="0" fontId="13" fillId="23" borderId="1" xfId="0" applyFont="1" applyFill="1" applyBorder="1" applyAlignment="1">
      <alignment horizontal="left" vertical="top" wrapText="1"/>
    </xf>
    <xf numFmtId="0" fontId="3" fillId="23" borderId="1" xfId="0" applyFont="1" applyFill="1" applyBorder="1" applyAlignment="1">
      <alignment horizontal="left" vertical="top" wrapText="1"/>
    </xf>
    <xf numFmtId="0" fontId="5" fillId="23" borderId="1" xfId="0" applyFont="1" applyFill="1" applyBorder="1" applyAlignment="1">
      <alignment horizontal="left" vertical="top" wrapText="1"/>
    </xf>
    <xf numFmtId="0" fontId="6" fillId="23" borderId="1" xfId="0" applyFont="1" applyFill="1" applyBorder="1" applyAlignment="1">
      <alignment horizontal="left" vertical="top" wrapText="1"/>
    </xf>
    <xf numFmtId="0" fontId="14" fillId="19" borderId="1" xfId="0" applyFont="1" applyFill="1" applyBorder="1" applyAlignment="1">
      <alignment horizontal="left" vertical="top" wrapText="1"/>
    </xf>
    <xf numFmtId="0" fontId="15" fillId="24" borderId="1" xfId="0" applyFont="1" applyFill="1" applyBorder="1" applyAlignment="1">
      <alignment horizontal="left" vertical="top" wrapText="1"/>
    </xf>
    <xf numFmtId="0" fontId="3" fillId="24" borderId="1" xfId="0" applyFont="1" applyFill="1" applyBorder="1" applyAlignment="1">
      <alignment horizontal="left" vertical="top" wrapText="1"/>
    </xf>
    <xf numFmtId="0" fontId="5" fillId="24" borderId="1" xfId="0" applyFont="1" applyFill="1" applyBorder="1" applyAlignment="1">
      <alignment horizontal="left" vertical="top" wrapText="1"/>
    </xf>
    <xf numFmtId="0" fontId="6" fillId="24" borderId="1" xfId="0" applyFont="1" applyFill="1" applyBorder="1" applyAlignment="1">
      <alignment horizontal="left" vertical="top" wrapText="1"/>
    </xf>
    <xf numFmtId="0" fontId="16" fillId="21" borderId="1" xfId="0" applyFont="1" applyFill="1" applyBorder="1" applyAlignment="1">
      <alignment horizontal="left" vertical="top" wrapText="1"/>
    </xf>
    <xf numFmtId="0" fontId="3" fillId="25" borderId="1" xfId="0" applyFont="1" applyFill="1" applyBorder="1" applyAlignment="1">
      <alignment horizontal="left" vertical="top" wrapText="1"/>
    </xf>
    <xf numFmtId="0" fontId="17" fillId="25" borderId="1" xfId="0" applyFont="1" applyFill="1" applyBorder="1" applyAlignment="1">
      <alignment horizontal="left" vertical="top" wrapText="1"/>
    </xf>
    <xf numFmtId="0" fontId="5" fillId="25" borderId="1" xfId="0" applyFont="1" applyFill="1" applyBorder="1" applyAlignment="1">
      <alignment horizontal="left" vertical="top" wrapText="1"/>
    </xf>
    <xf numFmtId="0" fontId="18" fillId="23" borderId="1" xfId="0" applyFont="1" applyFill="1" applyBorder="1" applyAlignment="1">
      <alignment horizontal="left" vertical="top" wrapText="1"/>
    </xf>
    <xf numFmtId="0" fontId="19" fillId="16" borderId="1" xfId="0" applyFont="1" applyFill="1" applyBorder="1" applyAlignment="1">
      <alignment horizontal="left" vertical="top" wrapText="1"/>
    </xf>
    <xf numFmtId="0" fontId="20" fillId="16" borderId="1" xfId="0" applyFont="1" applyFill="1" applyBorder="1" applyAlignment="1">
      <alignment horizontal="left" vertical="top" wrapText="1"/>
    </xf>
    <xf numFmtId="0" fontId="21" fillId="16" borderId="1" xfId="0" applyFont="1" applyFill="1" applyBorder="1" applyAlignment="1">
      <alignment horizontal="left" vertical="top" wrapText="1"/>
    </xf>
    <xf numFmtId="0" fontId="19" fillId="17" borderId="1" xfId="0" applyFont="1" applyFill="1" applyBorder="1" applyAlignment="1">
      <alignment horizontal="left" vertical="top" wrapText="1"/>
    </xf>
    <xf numFmtId="0" fontId="20" fillId="17" borderId="1" xfId="0" applyFont="1" applyFill="1" applyBorder="1" applyAlignment="1">
      <alignment horizontal="left" vertical="top" wrapText="1"/>
    </xf>
    <xf numFmtId="0" fontId="21" fillId="17" borderId="1" xfId="0" applyFont="1" applyFill="1" applyBorder="1" applyAlignment="1">
      <alignment horizontal="left" vertical="top" wrapText="1"/>
    </xf>
    <xf numFmtId="0" fontId="19" fillId="20" borderId="1" xfId="0" applyFont="1" applyFill="1" applyBorder="1" applyAlignment="1">
      <alignment horizontal="left" vertical="top" wrapText="1"/>
    </xf>
    <xf numFmtId="0" fontId="20" fillId="20" borderId="1" xfId="0" applyFont="1" applyFill="1" applyBorder="1" applyAlignment="1">
      <alignment horizontal="left" vertical="top" wrapText="1"/>
    </xf>
    <xf numFmtId="0" fontId="21" fillId="20" borderId="1" xfId="0" applyFont="1" applyFill="1" applyBorder="1" applyAlignment="1">
      <alignment horizontal="left" vertical="top" wrapText="1"/>
    </xf>
    <xf numFmtId="0" fontId="19" fillId="21" borderId="1" xfId="0" applyFont="1" applyFill="1" applyBorder="1" applyAlignment="1">
      <alignment horizontal="left" vertical="top" wrapText="1"/>
    </xf>
    <xf numFmtId="0" fontId="20" fillId="21" borderId="1" xfId="0" applyFont="1" applyFill="1" applyBorder="1" applyAlignment="1">
      <alignment horizontal="left" vertical="top" wrapText="1"/>
    </xf>
    <xf numFmtId="0" fontId="21" fillId="21" borderId="1" xfId="0" applyFont="1" applyFill="1" applyBorder="1" applyAlignment="1">
      <alignment horizontal="left" vertical="top" wrapText="1"/>
    </xf>
    <xf numFmtId="0" fontId="19" fillId="22" borderId="1" xfId="0" applyFont="1" applyFill="1" applyBorder="1" applyAlignment="1">
      <alignment horizontal="left" vertical="top" wrapText="1"/>
    </xf>
    <xf numFmtId="0" fontId="20" fillId="22" borderId="1" xfId="0" applyFont="1" applyFill="1" applyBorder="1" applyAlignment="1">
      <alignment horizontal="left" vertical="top" wrapText="1"/>
    </xf>
    <xf numFmtId="0" fontId="21" fillId="22" borderId="1" xfId="0" applyFont="1" applyFill="1" applyBorder="1" applyAlignment="1">
      <alignment horizontal="left" vertical="top" wrapText="1"/>
    </xf>
    <xf numFmtId="0" fontId="19" fillId="24" borderId="1" xfId="0" applyFont="1" applyFill="1" applyBorder="1" applyAlignment="1">
      <alignment horizontal="left" vertical="top" wrapText="1"/>
    </xf>
    <xf numFmtId="0" fontId="20" fillId="24" borderId="1" xfId="0" applyFont="1" applyFill="1" applyBorder="1" applyAlignment="1">
      <alignment horizontal="left" vertical="top" wrapText="1"/>
    </xf>
    <xf numFmtId="0" fontId="21" fillId="24" borderId="1" xfId="0" applyFont="1" applyFill="1" applyBorder="1" applyAlignment="1">
      <alignment horizontal="left" vertical="top" wrapText="1"/>
    </xf>
    <xf numFmtId="0" fontId="19" fillId="23" borderId="1" xfId="0" applyFont="1" applyFill="1" applyBorder="1" applyAlignment="1">
      <alignment horizontal="left" vertical="top" wrapText="1"/>
    </xf>
    <xf numFmtId="0" fontId="20" fillId="23" borderId="1" xfId="0" applyFont="1" applyFill="1" applyBorder="1" applyAlignment="1">
      <alignment horizontal="left" vertical="top" wrapText="1"/>
    </xf>
    <xf numFmtId="0" fontId="21" fillId="23" borderId="1" xfId="0" applyFont="1" applyFill="1" applyBorder="1" applyAlignment="1">
      <alignment horizontal="left" vertical="top" wrapText="1"/>
    </xf>
    <xf numFmtId="0" fontId="19" fillId="19" borderId="1" xfId="0" applyFont="1" applyFill="1" applyBorder="1" applyAlignment="1">
      <alignment horizontal="left" vertical="top" wrapText="1"/>
    </xf>
    <xf numFmtId="0" fontId="20" fillId="19" borderId="1" xfId="0" applyFont="1" applyFill="1" applyBorder="1" applyAlignment="1">
      <alignment horizontal="left" vertical="top" wrapText="1"/>
    </xf>
    <xf numFmtId="0" fontId="21" fillId="19" borderId="1" xfId="0" applyFont="1" applyFill="1" applyBorder="1" applyAlignment="1">
      <alignment horizontal="left" vertical="top" wrapText="1"/>
    </xf>
    <xf numFmtId="0" fontId="24" fillId="19" borderId="1" xfId="0" applyFont="1" applyFill="1" applyBorder="1" applyAlignment="1">
      <alignment vertical="center" wrapText="1"/>
    </xf>
    <xf numFmtId="0" fontId="25" fillId="19" borderId="1" xfId="0" applyFont="1" applyFill="1" applyBorder="1" applyAlignment="1">
      <alignment vertical="center" wrapText="1"/>
    </xf>
    <xf numFmtId="0" fontId="24" fillId="16" borderId="1" xfId="0" applyFont="1" applyFill="1" applyBorder="1" applyAlignment="1">
      <alignment vertical="center" wrapText="1"/>
    </xf>
    <xf numFmtId="0" fontId="25" fillId="16" borderId="1" xfId="0" applyFont="1" applyFill="1" applyBorder="1" applyAlignment="1">
      <alignment vertical="center" wrapText="1"/>
    </xf>
    <xf numFmtId="0" fontId="24" fillId="17" borderId="1" xfId="0" applyFont="1" applyFill="1" applyBorder="1" applyAlignment="1">
      <alignment vertical="center" wrapText="1"/>
    </xf>
    <xf numFmtId="0" fontId="25" fillId="17" borderId="1" xfId="0" applyFont="1" applyFill="1" applyBorder="1" applyAlignment="1">
      <alignment vertical="center" wrapText="1"/>
    </xf>
    <xf numFmtId="0" fontId="24" fillId="26" borderId="1" xfId="0" applyFont="1" applyFill="1" applyBorder="1" applyAlignment="1">
      <alignment vertical="center" wrapText="1"/>
    </xf>
    <xf numFmtId="0" fontId="27" fillId="26" borderId="1" xfId="0" applyFont="1" applyFill="1" applyBorder="1" applyAlignment="1">
      <alignment vertical="center" wrapText="1"/>
    </xf>
    <xf numFmtId="0" fontId="24" fillId="22" borderId="1" xfId="0" applyFont="1" applyFill="1" applyBorder="1" applyAlignment="1">
      <alignment vertical="center" wrapText="1"/>
    </xf>
    <xf numFmtId="0" fontId="25" fillId="22" borderId="1" xfId="0" applyFont="1" applyFill="1" applyBorder="1" applyAlignment="1">
      <alignment vertical="center" wrapText="1"/>
    </xf>
    <xf numFmtId="0" fontId="24" fillId="21" borderId="1" xfId="0" applyFont="1" applyFill="1" applyBorder="1" applyAlignment="1">
      <alignment vertical="center" wrapText="1"/>
    </xf>
    <xf numFmtId="0" fontId="25" fillId="21" borderId="1" xfId="0" applyFont="1" applyFill="1" applyBorder="1" applyAlignment="1">
      <alignment vertical="center" wrapText="1"/>
    </xf>
    <xf numFmtId="0" fontId="24" fillId="20" borderId="1" xfId="0" applyFont="1" applyFill="1" applyBorder="1" applyAlignment="1">
      <alignment horizontal="left" vertical="center" wrapText="1"/>
    </xf>
    <xf numFmtId="0" fontId="28" fillId="20" borderId="1" xfId="0" applyFont="1" applyFill="1" applyBorder="1" applyAlignment="1">
      <alignment horizontal="left" vertical="center" wrapText="1"/>
    </xf>
    <xf numFmtId="164" fontId="28" fillId="20" borderId="1" xfId="0" applyNumberFormat="1" applyFont="1" applyFill="1" applyBorder="1" applyAlignment="1">
      <alignment horizontal="left" vertical="center" wrapText="1"/>
    </xf>
    <xf numFmtId="0" fontId="24" fillId="17" borderId="1" xfId="0" applyFont="1" applyFill="1" applyBorder="1" applyAlignment="1">
      <alignment horizontal="left" vertical="center" wrapText="1"/>
    </xf>
    <xf numFmtId="0" fontId="28" fillId="17" borderId="1" xfId="0" applyFont="1" applyFill="1" applyBorder="1" applyAlignment="1">
      <alignment horizontal="left" vertical="center" wrapText="1"/>
    </xf>
    <xf numFmtId="164" fontId="28" fillId="17" borderId="1" xfId="0" applyNumberFormat="1" applyFont="1" applyFill="1" applyBorder="1" applyAlignment="1">
      <alignment horizontal="left" vertical="center" wrapText="1"/>
    </xf>
    <xf numFmtId="0" fontId="29" fillId="16" borderId="1" xfId="0" applyFont="1" applyFill="1" applyBorder="1" applyAlignment="1">
      <alignment horizontal="left" vertical="top" wrapText="1"/>
    </xf>
    <xf numFmtId="0" fontId="29" fillId="17" borderId="1" xfId="0" applyFont="1" applyFill="1" applyBorder="1" applyAlignment="1">
      <alignment horizontal="left" vertical="top" wrapText="1"/>
    </xf>
    <xf numFmtId="0" fontId="30" fillId="17" borderId="1" xfId="0" applyFont="1" applyFill="1" applyBorder="1" applyAlignment="1">
      <alignment horizontal="left" vertical="top" wrapText="1"/>
    </xf>
    <xf numFmtId="0" fontId="30" fillId="16" borderId="1" xfId="0" applyFont="1" applyFill="1" applyBorder="1" applyAlignment="1">
      <alignment horizontal="left" vertical="top" wrapText="1"/>
    </xf>
    <xf numFmtId="0" fontId="31" fillId="27" borderId="1" xfId="0" applyFont="1" applyFill="1" applyBorder="1" applyAlignment="1">
      <alignment horizontal="left" vertical="top" wrapText="1"/>
    </xf>
    <xf numFmtId="0" fontId="29" fillId="28" borderId="1" xfId="0" applyFont="1" applyFill="1" applyBorder="1" applyAlignment="1">
      <alignment horizontal="left" vertical="top" wrapText="1"/>
    </xf>
    <xf numFmtId="0" fontId="6" fillId="29" borderId="1" xfId="0" applyFont="1" applyFill="1" applyBorder="1" applyAlignment="1">
      <alignment horizontal="left" vertical="top" wrapText="1"/>
    </xf>
    <xf numFmtId="0" fontId="19" fillId="26" borderId="1" xfId="0" applyFont="1" applyFill="1" applyBorder="1" applyAlignment="1">
      <alignment horizontal="left" vertical="top" wrapText="1"/>
    </xf>
    <xf numFmtId="0" fontId="2" fillId="9" borderId="2" xfId="0" applyFont="1" applyFill="1" applyBorder="1" applyAlignment="1">
      <alignment horizontal="center" vertical="center" wrapText="1"/>
    </xf>
    <xf numFmtId="0" fontId="32" fillId="7"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1" fillId="11" borderId="1" xfId="0" applyFont="1" applyFill="1" applyBorder="1" applyAlignment="1">
      <alignment horizontal="center" vertical="center" wrapText="1"/>
    </xf>
    <xf numFmtId="0" fontId="1" fillId="12" borderId="1" xfId="0" applyFont="1" applyFill="1" applyBorder="1" applyAlignment="1">
      <alignment horizontal="center" vertical="center" wrapText="1"/>
    </xf>
    <xf numFmtId="0" fontId="1" fillId="13" borderId="1" xfId="0" applyFont="1" applyFill="1" applyBorder="1" applyAlignment="1">
      <alignment horizontal="center" vertical="center" wrapText="1"/>
    </xf>
    <xf numFmtId="0" fontId="1" fillId="14" borderId="1" xfId="0" applyFont="1" applyFill="1" applyBorder="1" applyAlignment="1">
      <alignment horizontal="center" vertical="center" wrapText="1"/>
    </xf>
    <xf numFmtId="0" fontId="1" fillId="15" borderId="1" xfId="0" applyFont="1" applyFill="1" applyBorder="1" applyAlignment="1">
      <alignment horizontal="center" vertical="center" wrapText="1"/>
    </xf>
    <xf numFmtId="0" fontId="26" fillId="5" borderId="1" xfId="0" applyFont="1" applyFill="1" applyBorder="1" applyAlignment="1">
      <alignment horizontal="center" vertical="center" wrapText="1"/>
    </xf>
    <xf numFmtId="0" fontId="26" fillId="12" borderId="1" xfId="0" applyFont="1" applyFill="1" applyBorder="1" applyAlignment="1">
      <alignment horizontal="center" vertical="center" wrapText="1"/>
    </xf>
    <xf numFmtId="0" fontId="26" fillId="9" borderId="1" xfId="0" applyFont="1" applyFill="1" applyBorder="1" applyAlignment="1">
      <alignment horizontal="center" vertical="center" wrapText="1"/>
    </xf>
    <xf numFmtId="0" fontId="26" fillId="13" borderId="1" xfId="0" applyFont="1" applyFill="1" applyBorder="1" applyAlignment="1">
      <alignment horizontal="center" vertical="center" wrapText="1"/>
    </xf>
    <xf numFmtId="0" fontId="22" fillId="2" borderId="1" xfId="0" applyFont="1" applyFill="1" applyBorder="1" applyAlignment="1">
      <alignment horizontal="center" vertical="center" wrapText="1"/>
    </xf>
    <xf numFmtId="0" fontId="23" fillId="4" borderId="1" xfId="0" applyFont="1" applyFill="1" applyBorder="1" applyAlignment="1">
      <alignment horizontal="center" vertical="center" wrapText="1"/>
    </xf>
    <xf numFmtId="0" fontId="26" fillId="3" borderId="1" xfId="0" applyFont="1" applyFill="1" applyBorder="1" applyAlignment="1">
      <alignment horizontal="center" vertical="center" wrapText="1"/>
    </xf>
    <xf numFmtId="0" fontId="26" fillId="4" borderId="1" xfId="0" applyFont="1" applyFill="1" applyBorder="1" applyAlignment="1">
      <alignment horizontal="center" vertical="center" wrapText="1"/>
    </xf>
    <xf numFmtId="0" fontId="1" fillId="31" borderId="1" xfId="0" applyFont="1" applyFill="1" applyBorder="1" applyAlignment="1">
      <alignment horizontal="center" vertical="center"/>
    </xf>
    <xf numFmtId="0" fontId="25" fillId="0" borderId="1" xfId="0" applyFont="1" applyBorder="1" applyAlignment="1">
      <alignment horizontal="center" vertical="center"/>
    </xf>
    <xf numFmtId="0" fontId="33" fillId="30" borderId="1" xfId="0" applyFont="1" applyFill="1" applyBorder="1" applyAlignment="1">
      <alignment horizontal="left" vertical="center"/>
    </xf>
    <xf numFmtId="0" fontId="25" fillId="32" borderId="1" xfId="0" applyFont="1" applyFill="1" applyBorder="1" applyAlignment="1">
      <alignment horizontal="left" vertical="center" wrapText="1"/>
    </xf>
    <xf numFmtId="0" fontId="25" fillId="33" borderId="1" xfId="0" applyFont="1" applyFill="1" applyBorder="1" applyAlignment="1">
      <alignment horizontal="left" vertical="center" wrapText="1"/>
    </xf>
    <xf numFmtId="0" fontId="33" fillId="34" borderId="1" xfId="0" applyFont="1" applyFill="1" applyBorder="1" applyAlignment="1">
      <alignment horizontal="left" vertical="center"/>
    </xf>
    <xf numFmtId="0" fontId="33" fillId="35" borderId="1" xfId="0" applyFont="1" applyFill="1" applyBorder="1" applyAlignment="1">
      <alignment horizontal="left" vertical="center"/>
    </xf>
    <xf numFmtId="0" fontId="33" fillId="36" borderId="1" xfId="0" applyFont="1" applyFill="1" applyBorder="1" applyAlignment="1">
      <alignment horizontal="left" vertical="center"/>
    </xf>
    <xf numFmtId="0" fontId="33" fillId="37" borderId="1" xfId="0" applyFont="1" applyFill="1" applyBorder="1" applyAlignment="1">
      <alignment horizontal="left" vertical="center"/>
    </xf>
    <xf numFmtId="0" fontId="33" fillId="38" borderId="1" xfId="0" applyFont="1" applyFill="1" applyBorder="1" applyAlignment="1">
      <alignment horizontal="left" vertical="center"/>
    </xf>
    <xf numFmtId="0" fontId="33" fillId="39" borderId="1" xfId="0" applyFont="1" applyFill="1" applyBorder="1" applyAlignment="1">
      <alignment horizontal="left" vertical="center"/>
    </xf>
    <xf numFmtId="0" fontId="33" fillId="40" borderId="1" xfId="0" applyFont="1" applyFill="1" applyBorder="1" applyAlignment="1">
      <alignment horizontal="left" vertical="center"/>
    </xf>
    <xf numFmtId="0" fontId="33" fillId="41" borderId="1" xfId="0" applyFont="1" applyFill="1" applyBorder="1" applyAlignment="1">
      <alignment horizontal="left" vertical="center"/>
    </xf>
    <xf numFmtId="0" fontId="25" fillId="42" borderId="1" xfId="0" applyFont="1" applyFill="1" applyBorder="1" applyAlignment="1">
      <alignment horizontal="left" vertical="center"/>
    </xf>
    <xf numFmtId="0" fontId="33" fillId="43" borderId="1" xfId="0" applyFont="1" applyFill="1" applyBorder="1" applyAlignment="1">
      <alignment horizontal="left" vertical="center"/>
    </xf>
    <xf numFmtId="0" fontId="33" fillId="44" borderId="1" xfId="0" applyFont="1" applyFill="1" applyBorder="1" applyAlignment="1">
      <alignment horizontal="left" vertical="center"/>
    </xf>
    <xf numFmtId="0" fontId="33" fillId="45" borderId="1" xfId="0" applyFont="1" applyFill="1" applyBorder="1" applyAlignment="1">
      <alignment horizontal="left" vertical="center"/>
    </xf>
    <xf numFmtId="0" fontId="33" fillId="46" borderId="1" xfId="0" applyFont="1" applyFill="1" applyBorder="1" applyAlignment="1">
      <alignment horizontal="left" vertical="center"/>
    </xf>
    <xf numFmtId="0" fontId="33" fillId="47" borderId="1" xfId="0" applyFont="1" applyFill="1" applyBorder="1" applyAlignment="1">
      <alignment horizontal="left" vertical="center"/>
    </xf>
  </cellXfs>
  <cellStyles count="1">
    <cellStyle name="Normal" xfId="0" builtinId="0"/>
  </cellStyles>
  <dxfs count="4">
    <dxf>
      <fill>
        <patternFill>
          <bgColor rgb="FFFFF9C4"/>
        </patternFill>
      </fill>
    </dxf>
    <dxf>
      <fill>
        <patternFill>
          <bgColor rgb="FFFFCCCC"/>
        </patternFill>
      </fill>
    </dxf>
    <dxf>
      <fill>
        <patternFill>
          <bgColor rgb="FFC8E6C9"/>
        </patternFill>
      </fill>
    </dxf>
    <dxf>
      <fill>
        <patternFill>
          <bgColor rgb="FFFFCCCC"/>
        </patternFill>
      </fill>
    </dxf>
  </dxfs>
  <tableStyles count="0" defaultTableStyle="TableStyleMedium2" defaultPivotStyle="PivotStyleLight16"/>
  <colors>
    <indexedColors>
      <rgbColor rgb="FF000000"/>
      <rgbColor rgb="FFFFFFFF"/>
      <rgbColor rgb="FFC0392B"/>
      <rgbColor rgb="FF00FF00"/>
      <rgbColor rgb="FF0000FF"/>
      <rgbColor rgb="FFFFE0B2"/>
      <rgbColor rgb="FFFF00FF"/>
      <rgbColor rgb="FF00FFFF"/>
      <rgbColor rgb="FF8B0000"/>
      <rgbColor rgb="FF1A6B3A"/>
      <rgbColor rgb="FF000080"/>
      <rgbColor rgb="FFB8580A"/>
      <rgbColor rgb="FF800080"/>
      <rgbColor rgb="FF1B6B3A"/>
      <rgbColor rgb="FFC8E6C9"/>
      <rgbColor rgb="FF808080"/>
      <rgbColor rgb="FF9999FF"/>
      <rgbColor rgb="FF9B2335"/>
      <rgbColor rgb="FFFFF9C4"/>
      <rgbColor rgb="FFD6EAF8"/>
      <rgbColor rgb="FF660066"/>
      <rgbColor rgb="FFFF8080"/>
      <rgbColor rgb="FF2E6DA4"/>
      <rgbColor rgb="FFD0E4F7"/>
      <rgbColor rgb="FF000080"/>
      <rgbColor rgb="FFFF00FF"/>
      <rgbColor rgb="FFFDEDEC"/>
      <rgbColor rgb="FF00FFFF"/>
      <rgbColor rgb="FF800080"/>
      <rgbColor rgb="FF800000"/>
      <rgbColor rgb="FF1A5276"/>
      <rgbColor rgb="FF0000FF"/>
      <rgbColor rgb="FF00CCFF"/>
      <rgbColor rgb="FFEAECEE"/>
      <rgbColor rgb="FFD5F5E3"/>
      <rgbColor rgb="FFFDEBD0"/>
      <rgbColor rgb="FFE8DAEF"/>
      <rgbColor rgb="FFFADBD8"/>
      <rgbColor rgb="FFFCE4EC"/>
      <rgbColor rgb="FFFFCCCC"/>
      <rgbColor rgb="FF3366FF"/>
      <rgbColor rgb="FF33CCCC"/>
      <rgbColor rgb="FF99CC00"/>
      <rgbColor rgb="FFFFD700"/>
      <rgbColor rgb="FFF39C12"/>
      <rgbColor rgb="FFE67E22"/>
      <rgbColor rgb="FF515A5A"/>
      <rgbColor rgb="FF969696"/>
      <rgbColor rgb="FF1A3C5E"/>
      <rgbColor rgb="FF339966"/>
      <rgbColor rgb="FF003300"/>
      <rgbColor rgb="FF784212"/>
      <rgbColor rgb="FF922B21"/>
      <rgbColor rgb="FF7B2D8B"/>
      <rgbColor rgb="FF4A235A"/>
      <rgbColor rgb="FF2C3E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N3"/>
  <sheetViews>
    <sheetView zoomScaleNormal="100" workbookViewId="0">
      <pane xSplit="3" ySplit="2" topLeftCell="TX3" activePane="bottomRight" state="frozen"/>
      <selection pane="topRight" activeCell="D1" sqref="D1"/>
      <selection pane="bottomLeft" activeCell="A3" sqref="A3"/>
      <selection pane="bottomRight" activeCell="QE2" sqref="QE2"/>
    </sheetView>
  </sheetViews>
  <sheetFormatPr defaultColWidth="8.7109375" defaultRowHeight="15" x14ac:dyDescent="0.25"/>
  <cols>
    <col min="1" max="560" width="18" customWidth="1"/>
  </cols>
  <sheetData>
    <row r="1" spans="1:560" ht="34.5" customHeight="1" x14ac:dyDescent="0.25">
      <c r="A1" s="113" t="s">
        <v>0</v>
      </c>
      <c r="B1" s="113"/>
      <c r="C1" s="113"/>
      <c r="D1" s="113"/>
      <c r="E1" s="113"/>
      <c r="F1" s="113"/>
      <c r="G1" s="113"/>
      <c r="H1" s="113"/>
      <c r="I1" s="113"/>
      <c r="J1" s="113"/>
      <c r="K1" s="113"/>
      <c r="L1" s="113"/>
      <c r="M1" s="113"/>
      <c r="N1" s="113"/>
      <c r="O1" s="113"/>
      <c r="P1" s="113"/>
      <c r="Q1" s="113"/>
      <c r="R1" s="113"/>
      <c r="S1" s="113"/>
      <c r="T1" s="113"/>
      <c r="U1" s="113"/>
      <c r="V1" s="113"/>
      <c r="W1" s="113"/>
      <c r="X1" s="113"/>
      <c r="Y1" s="113"/>
      <c r="Z1" s="113"/>
      <c r="AA1" s="113"/>
      <c r="AB1" s="114" t="s">
        <v>1</v>
      </c>
      <c r="AC1" s="114"/>
      <c r="AD1" s="114"/>
      <c r="AE1" s="114"/>
      <c r="AF1" s="114"/>
      <c r="AG1" s="114"/>
      <c r="AH1" s="114"/>
      <c r="AI1" s="114"/>
      <c r="AJ1" s="114"/>
      <c r="AK1" s="114"/>
      <c r="AL1" s="114"/>
      <c r="AM1" s="114"/>
      <c r="AN1" s="115" t="s">
        <v>2</v>
      </c>
      <c r="AO1" s="115"/>
      <c r="AP1" s="115"/>
      <c r="AQ1" s="115"/>
      <c r="AR1" s="115"/>
      <c r="AS1" s="115"/>
      <c r="AT1" s="115"/>
      <c r="AU1" s="115"/>
      <c r="AV1" s="115"/>
      <c r="AW1" s="115"/>
      <c r="AX1" s="115"/>
      <c r="AY1" s="115"/>
      <c r="AZ1" s="115"/>
      <c r="BA1" s="115"/>
      <c r="BB1" s="115"/>
      <c r="BC1" s="115"/>
      <c r="BD1" s="115"/>
      <c r="BE1" s="115"/>
      <c r="BF1" s="115"/>
      <c r="BG1" s="115"/>
      <c r="BH1" s="115"/>
      <c r="BI1" s="115"/>
      <c r="BJ1" s="115"/>
      <c r="BK1" s="115"/>
      <c r="BL1" s="115"/>
      <c r="BM1" s="115"/>
      <c r="BN1" s="115"/>
      <c r="BO1" s="115"/>
      <c r="BP1" s="115"/>
      <c r="BQ1" s="115"/>
      <c r="BR1" s="115"/>
      <c r="BS1" s="115"/>
      <c r="BT1" s="115"/>
      <c r="BU1" s="116" t="s">
        <v>3</v>
      </c>
      <c r="BV1" s="116"/>
      <c r="BW1" s="116"/>
      <c r="BX1" s="116"/>
      <c r="BY1" s="116"/>
      <c r="BZ1" s="116"/>
      <c r="CA1" s="116"/>
      <c r="CB1" s="116"/>
      <c r="CC1" s="116"/>
      <c r="CD1" s="116"/>
      <c r="CE1" s="116"/>
      <c r="CF1" s="116"/>
      <c r="CG1" s="116"/>
      <c r="CH1" s="116"/>
      <c r="CI1" s="116"/>
      <c r="CJ1" s="116"/>
      <c r="CK1" s="116"/>
      <c r="CL1" s="116"/>
      <c r="CM1" s="116"/>
      <c r="CN1" s="116"/>
      <c r="CO1" s="116"/>
      <c r="CP1" s="116"/>
      <c r="CQ1" s="116"/>
      <c r="CR1" s="116"/>
      <c r="CS1" s="116"/>
      <c r="CT1" s="116"/>
      <c r="CU1" s="116"/>
      <c r="CV1" s="116"/>
      <c r="CW1" s="116"/>
      <c r="CX1" s="116"/>
      <c r="CY1" s="116"/>
      <c r="CZ1" s="116"/>
      <c r="DA1" s="116"/>
      <c r="DB1" s="116"/>
      <c r="DC1" s="116"/>
      <c r="DD1" s="116"/>
      <c r="DE1" s="116"/>
      <c r="DF1" s="116"/>
      <c r="DG1" s="116"/>
      <c r="DH1" s="116"/>
      <c r="DI1" s="116"/>
      <c r="DJ1" s="116"/>
      <c r="DK1" s="116"/>
      <c r="DL1" s="116"/>
      <c r="DM1" s="116"/>
      <c r="DN1" s="116"/>
      <c r="DO1" s="116"/>
      <c r="DP1" s="116"/>
      <c r="DQ1" s="116"/>
      <c r="DR1" s="116"/>
      <c r="DS1" s="116"/>
      <c r="DT1" s="116"/>
      <c r="DU1" s="116"/>
      <c r="DV1" s="116"/>
      <c r="DW1" s="116"/>
      <c r="DX1" s="116"/>
      <c r="DY1" s="116"/>
      <c r="DZ1" s="116"/>
      <c r="EA1" s="116"/>
      <c r="EB1" s="116"/>
      <c r="EC1" s="116"/>
      <c r="ED1" s="116"/>
      <c r="EE1" s="116"/>
      <c r="EF1" s="116"/>
      <c r="EG1" s="116"/>
      <c r="EH1" s="116"/>
      <c r="EI1" s="116"/>
      <c r="EJ1" s="116"/>
      <c r="EK1" s="116"/>
      <c r="EL1" s="116"/>
      <c r="EM1" s="116"/>
      <c r="EN1" s="117" t="s">
        <v>4</v>
      </c>
      <c r="EO1" s="117"/>
      <c r="EP1" s="117"/>
      <c r="EQ1" s="117"/>
      <c r="ER1" s="117"/>
      <c r="ES1" s="117"/>
      <c r="ET1" s="117"/>
      <c r="EU1" s="117"/>
      <c r="EV1" s="117"/>
      <c r="EW1" s="117"/>
      <c r="EX1" s="117"/>
      <c r="EY1" s="117"/>
      <c r="EZ1" s="117"/>
      <c r="FA1" s="117"/>
      <c r="FB1" s="117"/>
      <c r="FC1" s="117"/>
      <c r="FD1" s="117"/>
      <c r="FE1" s="117"/>
      <c r="FF1" s="117"/>
      <c r="FG1" s="117"/>
      <c r="FH1" s="117"/>
      <c r="FI1" s="117"/>
      <c r="FJ1" s="117"/>
      <c r="FK1" s="117"/>
      <c r="FL1" s="117"/>
      <c r="FM1" s="117"/>
      <c r="FN1" s="117"/>
      <c r="FO1" s="117"/>
      <c r="FP1" s="117"/>
      <c r="FQ1" s="117"/>
      <c r="FR1" s="117"/>
      <c r="FS1" s="117"/>
      <c r="FT1" s="117"/>
      <c r="FU1" s="117"/>
      <c r="FV1" s="117"/>
      <c r="FW1" s="117"/>
      <c r="FX1" s="117"/>
      <c r="FY1" s="117"/>
      <c r="FZ1" s="117"/>
      <c r="GA1" s="117"/>
      <c r="GB1" s="117"/>
      <c r="GC1" s="117"/>
      <c r="GD1" s="117"/>
      <c r="GE1" s="117"/>
      <c r="GF1" s="117"/>
      <c r="GG1" s="117"/>
      <c r="GH1" s="117"/>
      <c r="GI1" s="117"/>
      <c r="GJ1" s="117"/>
      <c r="GK1" s="117"/>
      <c r="GL1" s="118" t="s">
        <v>5</v>
      </c>
      <c r="GM1" s="118"/>
      <c r="GN1" s="118"/>
      <c r="GO1" s="118"/>
      <c r="GP1" s="118"/>
      <c r="GQ1" s="118"/>
      <c r="GR1" s="118"/>
      <c r="GS1" s="118"/>
      <c r="GT1" s="118"/>
      <c r="GU1" s="118"/>
      <c r="GV1" s="118"/>
      <c r="GW1" s="118"/>
      <c r="GX1" s="118"/>
      <c r="GY1" s="118"/>
      <c r="GZ1" s="118"/>
      <c r="HA1" s="118"/>
      <c r="HB1" s="118"/>
      <c r="HC1" s="118"/>
      <c r="HD1" s="118"/>
      <c r="HE1" s="118"/>
      <c r="HF1" s="118"/>
      <c r="HG1" s="118"/>
      <c r="HH1" s="118"/>
      <c r="HI1" s="118"/>
      <c r="HJ1" s="118"/>
      <c r="HK1" s="118"/>
      <c r="HL1" s="118"/>
      <c r="HM1" s="118"/>
      <c r="HN1" s="118"/>
      <c r="HO1" s="118"/>
      <c r="HP1" s="118"/>
      <c r="HQ1" s="118"/>
      <c r="HR1" s="118"/>
      <c r="HS1" s="118"/>
      <c r="HT1" s="118"/>
      <c r="HU1" s="118"/>
      <c r="HV1" s="118"/>
      <c r="HW1" s="118"/>
      <c r="HX1" s="118"/>
      <c r="HY1" s="118"/>
      <c r="HZ1" s="118"/>
      <c r="IA1" s="118"/>
      <c r="IB1" s="118"/>
      <c r="IC1" s="118"/>
      <c r="ID1" s="118"/>
      <c r="IE1" s="118"/>
      <c r="IF1" s="118"/>
      <c r="IG1" s="118"/>
      <c r="IH1" s="118"/>
      <c r="II1" s="118"/>
      <c r="IJ1" s="118"/>
      <c r="IK1" s="118"/>
      <c r="IL1" s="118"/>
      <c r="IM1" s="118"/>
      <c r="IN1" s="118"/>
      <c r="IO1" s="118"/>
      <c r="IP1" s="118"/>
      <c r="IQ1" s="118"/>
      <c r="IR1" s="118"/>
      <c r="IS1" s="118"/>
      <c r="IT1" s="118"/>
      <c r="IU1" s="118"/>
      <c r="IV1" s="118"/>
      <c r="IW1" s="118"/>
      <c r="IX1" s="118"/>
      <c r="IY1" s="118"/>
      <c r="IZ1" s="118"/>
      <c r="JA1" s="118"/>
      <c r="JB1" s="118"/>
      <c r="JC1" s="118"/>
      <c r="JD1" s="118"/>
      <c r="JE1" s="118"/>
      <c r="JF1" s="118"/>
      <c r="JG1" s="118"/>
      <c r="JH1" s="118"/>
      <c r="JI1" s="118"/>
      <c r="JJ1" s="118"/>
      <c r="JK1" s="118"/>
      <c r="JL1" s="118"/>
      <c r="JM1" s="118"/>
      <c r="JN1" s="118"/>
      <c r="JO1" s="118"/>
      <c r="JP1" s="118"/>
      <c r="JQ1" s="118"/>
      <c r="JR1" s="118"/>
      <c r="JS1" s="118"/>
      <c r="JT1" s="118"/>
      <c r="JU1" s="118"/>
      <c r="JV1" s="118"/>
      <c r="JW1" s="118"/>
      <c r="JX1" s="118"/>
      <c r="JY1" s="118"/>
      <c r="JZ1" s="118"/>
      <c r="KA1" s="118"/>
      <c r="KB1" s="118"/>
      <c r="KC1" s="118"/>
      <c r="KD1" s="118"/>
      <c r="KE1" s="118"/>
      <c r="KF1" s="118"/>
      <c r="KG1" s="118"/>
      <c r="KH1" s="118"/>
      <c r="KI1" s="118"/>
      <c r="KJ1" s="118"/>
      <c r="KK1" s="118"/>
      <c r="KL1" s="118"/>
      <c r="KM1" s="118"/>
      <c r="KN1" s="118"/>
      <c r="KO1" s="118"/>
      <c r="KP1" s="118"/>
      <c r="KQ1" s="118"/>
      <c r="KR1" s="118"/>
      <c r="KS1" s="118"/>
      <c r="KT1" s="118"/>
      <c r="KU1" s="118"/>
      <c r="KV1" s="118"/>
      <c r="KW1" s="118"/>
      <c r="KX1" s="118"/>
      <c r="KY1" s="118"/>
      <c r="KZ1" s="118"/>
      <c r="LA1" s="118"/>
      <c r="LB1" s="118"/>
      <c r="LC1" s="118"/>
      <c r="LD1" s="118"/>
      <c r="LE1" s="118"/>
      <c r="LF1" s="118"/>
      <c r="LG1" s="118"/>
      <c r="LH1" s="118"/>
      <c r="LI1" s="118"/>
      <c r="LJ1" s="118"/>
      <c r="LK1" s="118"/>
      <c r="LL1" s="118"/>
      <c r="LM1" s="118"/>
      <c r="LN1" s="118"/>
      <c r="LO1" s="118"/>
      <c r="LP1" s="118"/>
      <c r="LQ1" s="118"/>
      <c r="LR1" s="118"/>
      <c r="LS1" s="118"/>
      <c r="LT1" s="118"/>
      <c r="LU1" s="118"/>
      <c r="LV1" s="118"/>
      <c r="LW1" s="118"/>
      <c r="LX1" s="118"/>
      <c r="LY1" s="118"/>
      <c r="LZ1" s="118"/>
      <c r="MA1" s="118"/>
      <c r="MB1" s="119" t="s">
        <v>6</v>
      </c>
      <c r="MC1" s="119"/>
      <c r="MD1" s="119"/>
      <c r="ME1" s="119"/>
      <c r="MF1" s="119"/>
      <c r="MG1" s="119"/>
      <c r="MH1" s="119"/>
      <c r="MI1" s="119"/>
      <c r="MJ1" s="119"/>
      <c r="MK1" s="119"/>
      <c r="ML1" s="119"/>
      <c r="MM1" s="119"/>
      <c r="MN1" s="119"/>
      <c r="MO1" s="119"/>
      <c r="MP1" s="119"/>
      <c r="MQ1" s="119"/>
      <c r="MR1" s="119"/>
      <c r="MS1" s="119"/>
      <c r="MT1" s="119"/>
      <c r="MU1" s="119"/>
      <c r="MV1" s="119"/>
      <c r="MW1" s="119"/>
      <c r="MX1" s="119"/>
      <c r="MY1" s="119"/>
      <c r="MZ1" s="119"/>
      <c r="NA1" s="119"/>
      <c r="NB1" s="119"/>
      <c r="NC1" s="119"/>
      <c r="ND1" s="119"/>
      <c r="NE1" s="119"/>
      <c r="NF1" s="119"/>
      <c r="NG1" s="119"/>
      <c r="NH1" s="119"/>
      <c r="NI1" s="119"/>
      <c r="NJ1" s="119"/>
      <c r="NK1" s="119"/>
      <c r="NL1" s="119"/>
      <c r="NM1" s="119"/>
      <c r="NN1" s="119"/>
      <c r="NO1" s="119"/>
      <c r="NP1" s="119"/>
      <c r="NQ1" s="119"/>
      <c r="NR1" s="119"/>
      <c r="NS1" s="119"/>
      <c r="NT1" s="119"/>
      <c r="NU1" s="119"/>
      <c r="NV1" s="119"/>
      <c r="NW1" s="119"/>
      <c r="NX1" s="119"/>
      <c r="NY1" s="119"/>
      <c r="NZ1" s="119"/>
      <c r="OA1" s="119"/>
      <c r="OB1" s="119"/>
      <c r="OC1" s="119"/>
      <c r="OD1" s="119"/>
      <c r="OE1" s="119"/>
      <c r="OF1" s="119"/>
      <c r="OG1" s="119"/>
      <c r="OH1" s="119"/>
      <c r="OI1" s="119"/>
      <c r="OJ1" s="119"/>
      <c r="OK1" s="119"/>
      <c r="OL1" s="119"/>
      <c r="OM1" s="119"/>
      <c r="ON1" s="119"/>
      <c r="OO1" s="119"/>
      <c r="OP1" s="119"/>
      <c r="OQ1" s="119"/>
      <c r="OR1" s="119"/>
      <c r="OS1" s="119"/>
      <c r="OT1" s="119"/>
      <c r="OU1" s="119"/>
      <c r="OV1" s="119"/>
      <c r="OW1" s="119"/>
      <c r="OX1" s="119"/>
      <c r="OY1" s="119"/>
      <c r="OZ1" s="119"/>
      <c r="PA1" s="119"/>
      <c r="PB1" s="119"/>
      <c r="PC1" s="119"/>
      <c r="PD1" s="119"/>
      <c r="PE1" s="119"/>
      <c r="PF1" s="119"/>
      <c r="PG1" s="119"/>
      <c r="PH1" s="119"/>
      <c r="PI1" s="119"/>
      <c r="PJ1" s="119"/>
      <c r="PK1" s="119"/>
      <c r="PL1" s="119"/>
      <c r="PM1" s="119"/>
      <c r="PN1" s="119"/>
      <c r="PO1" s="119"/>
      <c r="PP1" s="119"/>
      <c r="PQ1" s="119"/>
      <c r="PR1" s="119"/>
      <c r="PS1" s="119"/>
      <c r="PT1" s="119"/>
      <c r="PU1" s="119"/>
      <c r="PV1" s="119"/>
      <c r="PW1" s="119"/>
      <c r="PX1" s="119"/>
      <c r="PY1" s="119"/>
      <c r="PZ1" s="119"/>
      <c r="QA1" s="119"/>
      <c r="QB1" s="119"/>
      <c r="QC1" s="119"/>
      <c r="QD1" s="119"/>
      <c r="QE1" s="119"/>
      <c r="QF1" s="119"/>
      <c r="QG1" s="119"/>
      <c r="QH1" s="119"/>
      <c r="QI1" s="119"/>
      <c r="QJ1" s="120" t="s">
        <v>7</v>
      </c>
      <c r="QK1" s="120"/>
      <c r="QL1" s="120"/>
      <c r="QM1" s="120"/>
      <c r="QN1" s="120"/>
      <c r="QO1" s="120"/>
      <c r="QP1" s="120"/>
      <c r="QQ1" s="120"/>
      <c r="QR1" s="120"/>
      <c r="QS1" s="121" t="s">
        <v>8</v>
      </c>
      <c r="QT1" s="121"/>
      <c r="QU1" s="121"/>
      <c r="QV1" s="121"/>
      <c r="QW1" s="122" t="s">
        <v>9</v>
      </c>
      <c r="QX1" s="122"/>
      <c r="QY1" s="122"/>
      <c r="QZ1" s="122"/>
      <c r="RA1" s="122"/>
      <c r="RB1" s="122"/>
      <c r="RC1" s="123" t="s">
        <v>10</v>
      </c>
      <c r="RD1" s="123"/>
      <c r="RE1" s="123"/>
      <c r="RF1" s="123"/>
      <c r="RG1" s="123"/>
      <c r="RH1" s="123"/>
      <c r="RI1" s="123"/>
      <c r="RJ1" s="123"/>
      <c r="RK1" s="123"/>
      <c r="RL1" s="123"/>
      <c r="RM1" s="123"/>
      <c r="RN1" s="123"/>
      <c r="RO1" s="123"/>
      <c r="RP1" s="123"/>
      <c r="RQ1" s="124" t="s">
        <v>11</v>
      </c>
      <c r="RR1" s="124"/>
      <c r="RS1" s="124"/>
      <c r="RT1" s="124"/>
      <c r="RU1" s="124"/>
      <c r="RV1" s="124"/>
      <c r="RW1" s="124"/>
      <c r="RX1" s="124"/>
      <c r="RY1" s="124"/>
      <c r="RZ1" s="124"/>
      <c r="SA1" s="124"/>
      <c r="SB1" s="125" t="s">
        <v>12</v>
      </c>
      <c r="SC1" s="125"/>
      <c r="SD1" s="125"/>
      <c r="SE1" s="125"/>
      <c r="SF1" s="125"/>
      <c r="SG1" s="125"/>
      <c r="SH1" s="125"/>
      <c r="SI1" s="126" t="s">
        <v>13</v>
      </c>
      <c r="SJ1" s="126"/>
      <c r="SK1" s="126"/>
      <c r="SL1" s="126"/>
      <c r="SM1" s="126"/>
      <c r="SN1" s="126"/>
      <c r="SO1" s="126"/>
      <c r="SP1" s="126"/>
      <c r="SQ1" s="126"/>
      <c r="SR1" s="126"/>
      <c r="SS1" s="120" t="s">
        <v>14</v>
      </c>
      <c r="ST1" s="120"/>
      <c r="SU1" s="120"/>
      <c r="SV1" s="120"/>
      <c r="SW1" s="120"/>
      <c r="SX1" s="120"/>
      <c r="SY1" s="120"/>
      <c r="SZ1" s="120"/>
      <c r="TA1" s="120"/>
      <c r="TB1" s="120"/>
      <c r="TC1" s="120"/>
      <c r="TD1" s="120"/>
      <c r="TE1" s="120"/>
      <c r="TF1" s="120"/>
      <c r="TG1" s="120"/>
      <c r="TH1" s="120"/>
      <c r="TI1" s="120"/>
      <c r="TJ1" s="120"/>
      <c r="TK1" s="120"/>
      <c r="TL1" s="120"/>
      <c r="TM1" s="120"/>
      <c r="TN1" s="120"/>
      <c r="TO1" s="120"/>
      <c r="TP1" s="120"/>
      <c r="TQ1" s="120"/>
      <c r="TR1" s="120"/>
      <c r="TS1" s="120"/>
      <c r="TT1" s="120"/>
      <c r="TU1" s="120"/>
      <c r="TV1" s="120"/>
      <c r="TW1" s="120"/>
      <c r="TX1" s="120"/>
      <c r="TY1" s="120"/>
      <c r="TZ1" s="120"/>
      <c r="UA1" s="120"/>
      <c r="UB1" s="120"/>
      <c r="UC1" s="120"/>
      <c r="UD1" s="120"/>
      <c r="UE1" s="120"/>
      <c r="UF1" s="120"/>
      <c r="UG1" s="120"/>
      <c r="UH1" s="120"/>
      <c r="UI1" s="120"/>
      <c r="UJ1" s="120"/>
      <c r="UK1" s="120"/>
      <c r="UL1" s="120"/>
      <c r="UM1" s="120"/>
      <c r="UN1" s="120"/>
    </row>
    <row r="2" spans="1:560" ht="69.75" customHeight="1" x14ac:dyDescent="0.25">
      <c r="A2" s="6" t="s">
        <v>15</v>
      </c>
      <c r="B2" s="6" t="s">
        <v>16</v>
      </c>
      <c r="C2" s="6" t="s">
        <v>17</v>
      </c>
      <c r="D2" s="6" t="s">
        <v>18</v>
      </c>
      <c r="E2" s="6" t="s">
        <v>19</v>
      </c>
      <c r="F2" s="6" t="s">
        <v>20</v>
      </c>
      <c r="G2" s="6" t="s">
        <v>2565</v>
      </c>
      <c r="H2" s="6" t="s">
        <v>22</v>
      </c>
      <c r="I2" s="6" t="s">
        <v>23</v>
      </c>
      <c r="J2" s="6" t="s">
        <v>24</v>
      </c>
      <c r="K2" s="6" t="s">
        <v>25</v>
      </c>
      <c r="L2" s="6" t="s">
        <v>26</v>
      </c>
      <c r="M2" s="6" t="s">
        <v>27</v>
      </c>
      <c r="N2" s="6" t="s">
        <v>28</v>
      </c>
      <c r="O2" s="6" t="s">
        <v>29</v>
      </c>
      <c r="P2" s="6" t="s">
        <v>30</v>
      </c>
      <c r="Q2" s="6" t="s">
        <v>31</v>
      </c>
      <c r="R2" s="6" t="s">
        <v>32</v>
      </c>
      <c r="S2" s="6" t="s">
        <v>33</v>
      </c>
      <c r="T2" s="6" t="s">
        <v>34</v>
      </c>
      <c r="U2" s="6" t="s">
        <v>35</v>
      </c>
      <c r="V2" s="6" t="s">
        <v>36</v>
      </c>
      <c r="W2" s="6" t="s">
        <v>37</v>
      </c>
      <c r="X2" s="6" t="s">
        <v>38</v>
      </c>
      <c r="Y2" s="6" t="s">
        <v>39</v>
      </c>
      <c r="Z2" s="6" t="s">
        <v>40</v>
      </c>
      <c r="AA2" s="6" t="s">
        <v>41</v>
      </c>
      <c r="AB2" s="7" t="s">
        <v>42</v>
      </c>
      <c r="AC2" s="7" t="s">
        <v>43</v>
      </c>
      <c r="AD2" s="7" t="s">
        <v>44</v>
      </c>
      <c r="AE2" s="7" t="s">
        <v>45</v>
      </c>
      <c r="AF2" s="7" t="s">
        <v>2568</v>
      </c>
      <c r="AG2" s="7" t="s">
        <v>2570</v>
      </c>
      <c r="AH2" s="7" t="s">
        <v>48</v>
      </c>
      <c r="AI2" s="7" t="s">
        <v>49</v>
      </c>
      <c r="AJ2" s="7" t="s">
        <v>50</v>
      </c>
      <c r="AK2" s="7" t="s">
        <v>51</v>
      </c>
      <c r="AL2" s="7" t="s">
        <v>2578</v>
      </c>
      <c r="AM2" s="7" t="s">
        <v>53</v>
      </c>
      <c r="AN2" s="8" t="s">
        <v>54</v>
      </c>
      <c r="AO2" s="8" t="s">
        <v>55</v>
      </c>
      <c r="AP2" s="8" t="s">
        <v>56</v>
      </c>
      <c r="AQ2" s="8" t="s">
        <v>57</v>
      </c>
      <c r="AR2" s="8" t="s">
        <v>58</v>
      </c>
      <c r="AS2" s="8" t="s">
        <v>59</v>
      </c>
      <c r="AT2" s="8" t="s">
        <v>60</v>
      </c>
      <c r="AU2" s="8" t="s">
        <v>61</v>
      </c>
      <c r="AV2" s="8" t="s">
        <v>62</v>
      </c>
      <c r="AW2" s="8" t="s">
        <v>63</v>
      </c>
      <c r="AX2" s="8" t="s">
        <v>64</v>
      </c>
      <c r="AY2" s="8" t="s">
        <v>65</v>
      </c>
      <c r="AZ2" s="8" t="s">
        <v>66</v>
      </c>
      <c r="BA2" s="8" t="s">
        <v>67</v>
      </c>
      <c r="BB2" s="8" t="s">
        <v>2569</v>
      </c>
      <c r="BC2" s="8" t="s">
        <v>69</v>
      </c>
      <c r="BD2" s="8" t="s">
        <v>70</v>
      </c>
      <c r="BE2" s="8" t="s">
        <v>71</v>
      </c>
      <c r="BF2" s="8" t="s">
        <v>72</v>
      </c>
      <c r="BG2" s="8" t="s">
        <v>73</v>
      </c>
      <c r="BH2" s="8" t="s">
        <v>74</v>
      </c>
      <c r="BI2" s="8" t="s">
        <v>75</v>
      </c>
      <c r="BJ2" s="8" t="s">
        <v>76</v>
      </c>
      <c r="BK2" s="8" t="s">
        <v>77</v>
      </c>
      <c r="BL2" s="8" t="s">
        <v>78</v>
      </c>
      <c r="BM2" s="8" t="s">
        <v>79</v>
      </c>
      <c r="BN2" s="8" t="s">
        <v>80</v>
      </c>
      <c r="BO2" s="8" t="s">
        <v>81</v>
      </c>
      <c r="BP2" s="8" t="s">
        <v>82</v>
      </c>
      <c r="BQ2" s="8" t="s">
        <v>83</v>
      </c>
      <c r="BR2" s="8" t="s">
        <v>84</v>
      </c>
      <c r="BS2" s="8" t="s">
        <v>85</v>
      </c>
      <c r="BT2" s="8" t="s">
        <v>86</v>
      </c>
      <c r="BU2" s="9" t="s">
        <v>87</v>
      </c>
      <c r="BV2" s="9" t="s">
        <v>88</v>
      </c>
      <c r="BW2" s="9" t="s">
        <v>89</v>
      </c>
      <c r="BX2" s="9" t="s">
        <v>90</v>
      </c>
      <c r="BY2" s="9" t="s">
        <v>91</v>
      </c>
      <c r="BZ2" s="9" t="s">
        <v>92</v>
      </c>
      <c r="CA2" s="9" t="s">
        <v>93</v>
      </c>
      <c r="CB2" s="9" t="s">
        <v>94</v>
      </c>
      <c r="CC2" s="9" t="s">
        <v>95</v>
      </c>
      <c r="CD2" s="9" t="s">
        <v>96</v>
      </c>
      <c r="CE2" s="9" t="s">
        <v>97</v>
      </c>
      <c r="CF2" s="9" t="s">
        <v>98</v>
      </c>
      <c r="CG2" s="9" t="s">
        <v>99</v>
      </c>
      <c r="CH2" s="9" t="s">
        <v>100</v>
      </c>
      <c r="CI2" s="9" t="s">
        <v>101</v>
      </c>
      <c r="CJ2" s="9" t="s">
        <v>102</v>
      </c>
      <c r="CK2" s="9" t="s">
        <v>103</v>
      </c>
      <c r="CL2" s="9" t="s">
        <v>104</v>
      </c>
      <c r="CM2" s="9" t="s">
        <v>105</v>
      </c>
      <c r="CN2" s="9" t="s">
        <v>106</v>
      </c>
      <c r="CO2" s="9" t="s">
        <v>107</v>
      </c>
      <c r="CP2" s="9" t="s">
        <v>108</v>
      </c>
      <c r="CQ2" s="9" t="s">
        <v>109</v>
      </c>
      <c r="CR2" s="9" t="s">
        <v>110</v>
      </c>
      <c r="CS2" s="9" t="s">
        <v>111</v>
      </c>
      <c r="CT2" s="9" t="s">
        <v>112</v>
      </c>
      <c r="CU2" s="9" t="s">
        <v>113</v>
      </c>
      <c r="CV2" s="9" t="s">
        <v>114</v>
      </c>
      <c r="CW2" s="9" t="s">
        <v>115</v>
      </c>
      <c r="CX2" s="9" t="s">
        <v>116</v>
      </c>
      <c r="CY2" s="9" t="s">
        <v>117</v>
      </c>
      <c r="CZ2" s="9" t="s">
        <v>118</v>
      </c>
      <c r="DA2" s="9" t="s">
        <v>119</v>
      </c>
      <c r="DB2" s="9" t="s">
        <v>120</v>
      </c>
      <c r="DC2" s="9" t="s">
        <v>121</v>
      </c>
      <c r="DD2" s="9" t="s">
        <v>122</v>
      </c>
      <c r="DE2" s="9" t="s">
        <v>123</v>
      </c>
      <c r="DF2" s="9" t="s">
        <v>124</v>
      </c>
      <c r="DG2" s="9" t="s">
        <v>125</v>
      </c>
      <c r="DH2" s="9" t="s">
        <v>126</v>
      </c>
      <c r="DI2" s="9" t="s">
        <v>127</v>
      </c>
      <c r="DJ2" s="9" t="s">
        <v>128</v>
      </c>
      <c r="DK2" s="9" t="s">
        <v>129</v>
      </c>
      <c r="DL2" s="9" t="s">
        <v>130</v>
      </c>
      <c r="DM2" s="9" t="s">
        <v>131</v>
      </c>
      <c r="DN2" s="9" t="s">
        <v>132</v>
      </c>
      <c r="DO2" s="9" t="s">
        <v>133</v>
      </c>
      <c r="DP2" s="9" t="s">
        <v>134</v>
      </c>
      <c r="DQ2" s="9" t="s">
        <v>135</v>
      </c>
      <c r="DR2" s="9" t="s">
        <v>136</v>
      </c>
      <c r="DS2" s="9" t="s">
        <v>137</v>
      </c>
      <c r="DT2" s="9" t="s">
        <v>138</v>
      </c>
      <c r="DU2" s="9" t="s">
        <v>139</v>
      </c>
      <c r="DV2" s="9" t="s">
        <v>140</v>
      </c>
      <c r="DW2" s="9" t="s">
        <v>141</v>
      </c>
      <c r="DX2" s="9" t="s">
        <v>142</v>
      </c>
      <c r="DY2" s="9" t="s">
        <v>143</v>
      </c>
      <c r="DZ2" s="9" t="s">
        <v>144</v>
      </c>
      <c r="EA2" s="9" t="s">
        <v>145</v>
      </c>
      <c r="EB2" s="9" t="s">
        <v>146</v>
      </c>
      <c r="EC2" s="9" t="s">
        <v>147</v>
      </c>
      <c r="ED2" s="9" t="s">
        <v>148</v>
      </c>
      <c r="EE2" s="9" t="s">
        <v>149</v>
      </c>
      <c r="EF2" s="9" t="s">
        <v>150</v>
      </c>
      <c r="EG2" s="9" t="s">
        <v>151</v>
      </c>
      <c r="EH2" s="9" t="s">
        <v>152</v>
      </c>
      <c r="EI2" s="9" t="s">
        <v>153</v>
      </c>
      <c r="EJ2" s="9" t="s">
        <v>154</v>
      </c>
      <c r="EK2" s="9" t="s">
        <v>155</v>
      </c>
      <c r="EL2" s="9" t="s">
        <v>156</v>
      </c>
      <c r="EM2" s="9" t="s">
        <v>157</v>
      </c>
      <c r="EN2" s="10" t="s">
        <v>158</v>
      </c>
      <c r="EO2" s="10" t="s">
        <v>159</v>
      </c>
      <c r="EP2" s="10" t="s">
        <v>160</v>
      </c>
      <c r="EQ2" s="10" t="s">
        <v>161</v>
      </c>
      <c r="ER2" s="10" t="s">
        <v>162</v>
      </c>
      <c r="ES2" s="10" t="s">
        <v>163</v>
      </c>
      <c r="ET2" s="10" t="s">
        <v>164</v>
      </c>
      <c r="EU2" s="10" t="s">
        <v>165</v>
      </c>
      <c r="EV2" s="10" t="s">
        <v>166</v>
      </c>
      <c r="EW2" s="10" t="s">
        <v>167</v>
      </c>
      <c r="EX2" s="10" t="s">
        <v>168</v>
      </c>
      <c r="EY2" s="10" t="s">
        <v>169</v>
      </c>
      <c r="EZ2" s="10" t="s">
        <v>170</v>
      </c>
      <c r="FA2" s="10" t="s">
        <v>171</v>
      </c>
      <c r="FB2" s="10" t="s">
        <v>172</v>
      </c>
      <c r="FC2" s="10" t="s">
        <v>173</v>
      </c>
      <c r="FD2" s="10" t="s">
        <v>174</v>
      </c>
      <c r="FE2" s="10" t="s">
        <v>175</v>
      </c>
      <c r="FF2" s="10" t="s">
        <v>176</v>
      </c>
      <c r="FG2" s="10" t="s">
        <v>177</v>
      </c>
      <c r="FH2" s="10" t="s">
        <v>178</v>
      </c>
      <c r="FI2" s="10" t="s">
        <v>179</v>
      </c>
      <c r="FJ2" s="10" t="s">
        <v>180</v>
      </c>
      <c r="FK2" s="10" t="s">
        <v>181</v>
      </c>
      <c r="FL2" s="10" t="s">
        <v>182</v>
      </c>
      <c r="FM2" s="10" t="s">
        <v>183</v>
      </c>
      <c r="FN2" s="10" t="s">
        <v>184</v>
      </c>
      <c r="FO2" s="10" t="s">
        <v>185</v>
      </c>
      <c r="FP2" s="10" t="s">
        <v>186</v>
      </c>
      <c r="FQ2" s="10" t="s">
        <v>187</v>
      </c>
      <c r="FR2" s="10" t="s">
        <v>188</v>
      </c>
      <c r="FS2" s="10" t="s">
        <v>189</v>
      </c>
      <c r="FT2" s="10" t="s">
        <v>190</v>
      </c>
      <c r="FU2" s="10" t="s">
        <v>191</v>
      </c>
      <c r="FV2" s="10" t="s">
        <v>192</v>
      </c>
      <c r="FW2" s="10" t="s">
        <v>193</v>
      </c>
      <c r="FX2" s="10" t="s">
        <v>194</v>
      </c>
      <c r="FY2" s="10" t="s">
        <v>195</v>
      </c>
      <c r="FZ2" s="10" t="s">
        <v>196</v>
      </c>
      <c r="GA2" s="10" t="s">
        <v>197</v>
      </c>
      <c r="GB2" s="10" t="s">
        <v>198</v>
      </c>
      <c r="GC2" s="10" t="s">
        <v>199</v>
      </c>
      <c r="GD2" s="10" t="s">
        <v>200</v>
      </c>
      <c r="GE2" s="10" t="s">
        <v>201</v>
      </c>
      <c r="GF2" s="10" t="s">
        <v>202</v>
      </c>
      <c r="GG2" s="10" t="s">
        <v>203</v>
      </c>
      <c r="GH2" s="10" t="s">
        <v>204</v>
      </c>
      <c r="GI2" s="10" t="s">
        <v>205</v>
      </c>
      <c r="GJ2" s="10" t="s">
        <v>206</v>
      </c>
      <c r="GK2" s="10" t="s">
        <v>207</v>
      </c>
      <c r="GL2" s="11" t="s">
        <v>208</v>
      </c>
      <c r="GM2" s="11" t="s">
        <v>209</v>
      </c>
      <c r="GN2" s="11" t="s">
        <v>210</v>
      </c>
      <c r="GO2" s="11" t="s">
        <v>2551</v>
      </c>
      <c r="GP2" s="11" t="s">
        <v>212</v>
      </c>
      <c r="GQ2" s="11" t="s">
        <v>213</v>
      </c>
      <c r="GR2" s="11" t="s">
        <v>214</v>
      </c>
      <c r="GS2" s="11" t="s">
        <v>2621</v>
      </c>
      <c r="GT2" s="11" t="s">
        <v>216</v>
      </c>
      <c r="GU2" s="11" t="s">
        <v>217</v>
      </c>
      <c r="GV2" s="11" t="s">
        <v>218</v>
      </c>
      <c r="GW2" s="11" t="s">
        <v>2607</v>
      </c>
      <c r="GX2" s="11" t="s">
        <v>2608</v>
      </c>
      <c r="GY2" s="11" t="s">
        <v>221</v>
      </c>
      <c r="GZ2" s="11" t="s">
        <v>222</v>
      </c>
      <c r="HA2" s="11" t="s">
        <v>2546</v>
      </c>
      <c r="HB2" s="11" t="s">
        <v>224</v>
      </c>
      <c r="HC2" s="11" t="s">
        <v>225</v>
      </c>
      <c r="HD2" s="11" t="s">
        <v>226</v>
      </c>
      <c r="HE2" s="11" t="s">
        <v>227</v>
      </c>
      <c r="HF2" s="11" t="s">
        <v>228</v>
      </c>
      <c r="HG2" s="11" t="s">
        <v>229</v>
      </c>
      <c r="HH2" s="11" t="s">
        <v>230</v>
      </c>
      <c r="HI2" s="11" t="s">
        <v>231</v>
      </c>
      <c r="HJ2" s="112" t="s">
        <v>2566</v>
      </c>
      <c r="HK2" s="11" t="s">
        <v>233</v>
      </c>
      <c r="HL2" s="11" t="s">
        <v>234</v>
      </c>
      <c r="HM2" s="11" t="s">
        <v>235</v>
      </c>
      <c r="HN2" s="11" t="s">
        <v>236</v>
      </c>
      <c r="HO2" s="11" t="s">
        <v>237</v>
      </c>
      <c r="HP2" s="11" t="s">
        <v>238</v>
      </c>
      <c r="HQ2" s="11" t="s">
        <v>239</v>
      </c>
      <c r="HR2" s="11" t="s">
        <v>240</v>
      </c>
      <c r="HS2" s="11" t="s">
        <v>241</v>
      </c>
      <c r="HT2" s="11" t="s">
        <v>242</v>
      </c>
      <c r="HU2" s="11" t="s">
        <v>2609</v>
      </c>
      <c r="HV2" s="11" t="s">
        <v>244</v>
      </c>
      <c r="HW2" s="11" t="s">
        <v>245</v>
      </c>
      <c r="HX2" s="11" t="s">
        <v>246</v>
      </c>
      <c r="HY2" s="11" t="s">
        <v>2549</v>
      </c>
      <c r="HZ2" s="11" t="s">
        <v>248</v>
      </c>
      <c r="IA2" s="11" t="s">
        <v>2550</v>
      </c>
      <c r="IB2" s="11" t="s">
        <v>250</v>
      </c>
      <c r="IC2" s="11" t="s">
        <v>2554</v>
      </c>
      <c r="ID2" s="11" t="s">
        <v>251</v>
      </c>
      <c r="IE2" s="11" t="s">
        <v>2572</v>
      </c>
      <c r="IF2" s="11" t="s">
        <v>2556</v>
      </c>
      <c r="IG2" s="11" t="s">
        <v>255</v>
      </c>
      <c r="IH2" s="11" t="s">
        <v>2559</v>
      </c>
      <c r="II2" s="11" t="s">
        <v>2558</v>
      </c>
      <c r="IJ2" s="11" t="s">
        <v>258</v>
      </c>
      <c r="IK2" s="11" t="s">
        <v>259</v>
      </c>
      <c r="IL2" s="11" t="s">
        <v>260</v>
      </c>
      <c r="IM2" s="11" t="s">
        <v>261</v>
      </c>
      <c r="IN2" s="11" t="s">
        <v>262</v>
      </c>
      <c r="IO2" s="11" t="s">
        <v>263</v>
      </c>
      <c r="IP2" s="11" t="s">
        <v>264</v>
      </c>
      <c r="IQ2" s="11" t="s">
        <v>265</v>
      </c>
      <c r="IR2" s="11" t="s">
        <v>266</v>
      </c>
      <c r="IS2" s="11" t="s">
        <v>267</v>
      </c>
      <c r="IT2" s="11" t="s">
        <v>268</v>
      </c>
      <c r="IU2" s="11" t="s">
        <v>269</v>
      </c>
      <c r="IV2" s="11" t="s">
        <v>270</v>
      </c>
      <c r="IW2" s="11" t="s">
        <v>271</v>
      </c>
      <c r="IX2" s="11" t="s">
        <v>272</v>
      </c>
      <c r="IY2" s="11" t="s">
        <v>273</v>
      </c>
      <c r="IZ2" s="11" t="s">
        <v>274</v>
      </c>
      <c r="JA2" s="11" t="s">
        <v>2555</v>
      </c>
      <c r="JB2" s="11" t="s">
        <v>276</v>
      </c>
      <c r="JC2" s="11" t="s">
        <v>277</v>
      </c>
      <c r="JD2" s="11" t="s">
        <v>278</v>
      </c>
      <c r="JE2" s="11" t="s">
        <v>279</v>
      </c>
      <c r="JF2" s="11" t="s">
        <v>280</v>
      </c>
      <c r="JG2" s="11" t="s">
        <v>281</v>
      </c>
      <c r="JH2" s="11" t="s">
        <v>282</v>
      </c>
      <c r="JI2" s="11" t="s">
        <v>283</v>
      </c>
      <c r="JJ2" s="11" t="s">
        <v>2612</v>
      </c>
      <c r="JK2" s="11" t="s">
        <v>2613</v>
      </c>
      <c r="JL2" s="11" t="s">
        <v>286</v>
      </c>
      <c r="JM2" s="11" t="s">
        <v>287</v>
      </c>
      <c r="JN2" s="11" t="s">
        <v>288</v>
      </c>
      <c r="JO2" s="11" t="s">
        <v>289</v>
      </c>
      <c r="JP2" s="11" t="s">
        <v>290</v>
      </c>
      <c r="JQ2" s="11" t="s">
        <v>291</v>
      </c>
      <c r="JR2" s="11" t="s">
        <v>292</v>
      </c>
      <c r="JS2" s="11" t="s">
        <v>293</v>
      </c>
      <c r="JT2" s="11" t="s">
        <v>2614</v>
      </c>
      <c r="JU2" s="11" t="s">
        <v>295</v>
      </c>
      <c r="JV2" s="11" t="s">
        <v>296</v>
      </c>
      <c r="JW2" s="11" t="s">
        <v>297</v>
      </c>
      <c r="JX2" s="11" t="s">
        <v>298</v>
      </c>
      <c r="JY2" s="11"/>
      <c r="JZ2" s="11" t="s">
        <v>300</v>
      </c>
      <c r="KA2" s="11" t="s">
        <v>301</v>
      </c>
      <c r="KB2" s="11" t="s">
        <v>302</v>
      </c>
      <c r="KC2" s="11" t="s">
        <v>303</v>
      </c>
      <c r="KD2" s="11" t="s">
        <v>304</v>
      </c>
      <c r="KE2" s="11" t="s">
        <v>305</v>
      </c>
      <c r="KF2" s="11" t="s">
        <v>306</v>
      </c>
      <c r="KG2" s="11" t="s">
        <v>2547</v>
      </c>
      <c r="KH2" s="11" t="s">
        <v>308</v>
      </c>
      <c r="KI2" s="11" t="s">
        <v>309</v>
      </c>
      <c r="KJ2" s="11" t="s">
        <v>310</v>
      </c>
      <c r="KK2" s="11" t="s">
        <v>311</v>
      </c>
      <c r="KL2" s="11" t="s">
        <v>312</v>
      </c>
      <c r="KM2" s="11" t="s">
        <v>313</v>
      </c>
      <c r="KN2" s="11" t="s">
        <v>314</v>
      </c>
      <c r="KO2" s="11" t="s">
        <v>2545</v>
      </c>
      <c r="KP2" s="11" t="s">
        <v>315</v>
      </c>
      <c r="KQ2" s="11" t="s">
        <v>316</v>
      </c>
      <c r="KR2" s="11" t="s">
        <v>317</v>
      </c>
      <c r="KS2" s="11" t="s">
        <v>318</v>
      </c>
      <c r="KT2" s="11" t="s">
        <v>319</v>
      </c>
      <c r="KU2" s="11" t="s">
        <v>320</v>
      </c>
      <c r="KV2" s="11" t="s">
        <v>321</v>
      </c>
      <c r="KW2" s="11" t="s">
        <v>322</v>
      </c>
      <c r="KX2" s="11" t="s">
        <v>323</v>
      </c>
      <c r="KY2" s="11" t="s">
        <v>2616</v>
      </c>
      <c r="KZ2" s="112" t="s">
        <v>2576</v>
      </c>
      <c r="LA2" s="11" t="s">
        <v>326</v>
      </c>
      <c r="LB2" s="11" t="s">
        <v>327</v>
      </c>
      <c r="LC2" s="11" t="s">
        <v>328</v>
      </c>
      <c r="LD2" s="11" t="s">
        <v>329</v>
      </c>
      <c r="LE2" s="11" t="s">
        <v>330</v>
      </c>
      <c r="LF2" s="11" t="s">
        <v>331</v>
      </c>
      <c r="LG2" s="11" t="s">
        <v>332</v>
      </c>
      <c r="LH2" s="11" t="s">
        <v>333</v>
      </c>
      <c r="LI2" s="11" t="s">
        <v>334</v>
      </c>
      <c r="LJ2" s="11" t="s">
        <v>335</v>
      </c>
      <c r="LK2" s="11" t="s">
        <v>336</v>
      </c>
      <c r="LL2" s="11" t="s">
        <v>337</v>
      </c>
      <c r="LM2" s="11" t="s">
        <v>338</v>
      </c>
      <c r="LN2" s="11" t="s">
        <v>339</v>
      </c>
      <c r="LO2" s="11" t="s">
        <v>340</v>
      </c>
      <c r="LP2" s="11" t="s">
        <v>341</v>
      </c>
      <c r="LQ2" s="11" t="s">
        <v>2623</v>
      </c>
      <c r="LR2" s="11" t="s">
        <v>343</v>
      </c>
      <c r="LS2" s="11" t="s">
        <v>344</v>
      </c>
      <c r="LT2" s="11" t="s">
        <v>345</v>
      </c>
      <c r="LU2" s="11" t="s">
        <v>346</v>
      </c>
      <c r="LV2" s="11" t="s">
        <v>347</v>
      </c>
      <c r="LW2" s="11" t="s">
        <v>348</v>
      </c>
      <c r="LX2" s="11" t="s">
        <v>349</v>
      </c>
      <c r="LY2" s="11" t="s">
        <v>350</v>
      </c>
      <c r="LZ2" s="11" t="s">
        <v>351</v>
      </c>
      <c r="MA2" s="11" t="s">
        <v>352</v>
      </c>
      <c r="MB2" s="12" t="s">
        <v>353</v>
      </c>
      <c r="MC2" s="12" t="s">
        <v>354</v>
      </c>
      <c r="MD2" s="12" t="s">
        <v>355</v>
      </c>
      <c r="ME2" s="12" t="s">
        <v>356</v>
      </c>
      <c r="MF2" s="12" t="s">
        <v>357</v>
      </c>
      <c r="MG2" s="12" t="s">
        <v>358</v>
      </c>
      <c r="MH2" s="12" t="s">
        <v>359</v>
      </c>
      <c r="MI2" s="12" t="s">
        <v>360</v>
      </c>
      <c r="MJ2" s="12" t="s">
        <v>361</v>
      </c>
      <c r="MK2" s="12" t="s">
        <v>2553</v>
      </c>
      <c r="ML2" s="12" t="s">
        <v>363</v>
      </c>
      <c r="MM2" s="12" t="s">
        <v>364</v>
      </c>
      <c r="MN2" s="12" t="s">
        <v>365</v>
      </c>
      <c r="MO2" s="12" t="s">
        <v>366</v>
      </c>
      <c r="MP2" s="12" t="s">
        <v>367</v>
      </c>
      <c r="MQ2" s="12" t="s">
        <v>368</v>
      </c>
      <c r="MR2" s="12" t="s">
        <v>369</v>
      </c>
      <c r="MS2" s="12" t="s">
        <v>370</v>
      </c>
      <c r="MT2" s="12" t="s">
        <v>371</v>
      </c>
      <c r="MU2" s="12" t="s">
        <v>372</v>
      </c>
      <c r="MV2" s="12" t="s">
        <v>373</v>
      </c>
      <c r="MW2" s="12" t="s">
        <v>374</v>
      </c>
      <c r="MX2" s="12" t="s">
        <v>375</v>
      </c>
      <c r="MY2" s="12" t="s">
        <v>376</v>
      </c>
      <c r="MZ2" s="12" t="s">
        <v>377</v>
      </c>
      <c r="NA2" s="12" t="s">
        <v>378</v>
      </c>
      <c r="NB2" s="12" t="s">
        <v>379</v>
      </c>
      <c r="NC2" s="12" t="s">
        <v>380</v>
      </c>
      <c r="ND2" s="12" t="s">
        <v>381</v>
      </c>
      <c r="NE2" s="12" t="s">
        <v>382</v>
      </c>
      <c r="NF2" s="12" t="s">
        <v>383</v>
      </c>
      <c r="NG2" s="12" t="s">
        <v>384</v>
      </c>
      <c r="NH2" s="12" t="s">
        <v>385</v>
      </c>
      <c r="NI2" s="12" t="s">
        <v>386</v>
      </c>
      <c r="NJ2" s="12" t="s">
        <v>387</v>
      </c>
      <c r="NK2" s="12" t="s">
        <v>388</v>
      </c>
      <c r="NL2" s="12" t="s">
        <v>389</v>
      </c>
      <c r="NM2" s="12" t="s">
        <v>390</v>
      </c>
      <c r="NN2" s="12" t="s">
        <v>391</v>
      </c>
      <c r="NO2" s="12" t="s">
        <v>392</v>
      </c>
      <c r="NP2" s="12" t="s">
        <v>393</v>
      </c>
      <c r="NQ2" s="12" t="s">
        <v>394</v>
      </c>
      <c r="NR2" s="12" t="s">
        <v>395</v>
      </c>
      <c r="NS2" s="12" t="s">
        <v>396</v>
      </c>
      <c r="NT2" s="12" t="s">
        <v>397</v>
      </c>
      <c r="NU2" s="12" t="s">
        <v>398</v>
      </c>
      <c r="NV2" s="12" t="s">
        <v>399</v>
      </c>
      <c r="NW2" s="12" t="s">
        <v>400</v>
      </c>
      <c r="NX2" s="12" t="s">
        <v>401</v>
      </c>
      <c r="NY2" s="12" t="s">
        <v>402</v>
      </c>
      <c r="NZ2" s="12" t="s">
        <v>403</v>
      </c>
      <c r="OA2" s="12" t="s">
        <v>2575</v>
      </c>
      <c r="OB2" s="12" t="s">
        <v>405</v>
      </c>
      <c r="OC2" s="12" t="s">
        <v>406</v>
      </c>
      <c r="OD2" s="12" t="s">
        <v>407</v>
      </c>
      <c r="OE2" s="12" t="s">
        <v>408</v>
      </c>
      <c r="OF2" s="12" t="s">
        <v>409</v>
      </c>
      <c r="OG2" s="12" t="s">
        <v>2574</v>
      </c>
      <c r="OH2" s="12" t="s">
        <v>411</v>
      </c>
      <c r="OI2" s="12" t="s">
        <v>412</v>
      </c>
      <c r="OJ2" s="12" t="s">
        <v>2573</v>
      </c>
      <c r="OK2" s="12" t="s">
        <v>2544</v>
      </c>
      <c r="OL2" s="12" t="s">
        <v>415</v>
      </c>
      <c r="OM2" s="12" t="s">
        <v>416</v>
      </c>
      <c r="ON2" s="12" t="s">
        <v>417</v>
      </c>
      <c r="OO2" s="12" t="s">
        <v>418</v>
      </c>
      <c r="OP2" s="12" t="s">
        <v>419</v>
      </c>
      <c r="OQ2" s="12" t="s">
        <v>420</v>
      </c>
      <c r="OR2" s="12" t="s">
        <v>421</v>
      </c>
      <c r="OS2" s="12" t="s">
        <v>422</v>
      </c>
      <c r="OT2" s="12" t="s">
        <v>423</v>
      </c>
      <c r="OU2" s="12" t="s">
        <v>424</v>
      </c>
      <c r="OV2" s="12" t="s">
        <v>2611</v>
      </c>
      <c r="OW2" s="12" t="s">
        <v>2610</v>
      </c>
      <c r="OX2" s="12" t="s">
        <v>427</v>
      </c>
      <c r="OY2" s="12" t="s">
        <v>428</v>
      </c>
      <c r="OZ2" s="12" t="s">
        <v>429</v>
      </c>
      <c r="PA2" s="12" t="s">
        <v>430</v>
      </c>
      <c r="PB2" s="12" t="s">
        <v>431</v>
      </c>
      <c r="PC2" s="12" t="s">
        <v>432</v>
      </c>
      <c r="PD2" s="12" t="s">
        <v>433</v>
      </c>
      <c r="PE2" s="12" t="s">
        <v>434</v>
      </c>
      <c r="PF2" s="12" t="s">
        <v>435</v>
      </c>
      <c r="PG2" s="12" t="s">
        <v>436</v>
      </c>
      <c r="PH2" s="12" t="s">
        <v>437</v>
      </c>
      <c r="PI2" s="12" t="s">
        <v>438</v>
      </c>
      <c r="PJ2" s="12" t="s">
        <v>439</v>
      </c>
      <c r="PK2" s="12" t="s">
        <v>440</v>
      </c>
      <c r="PL2" s="12" t="s">
        <v>441</v>
      </c>
      <c r="PM2" s="12" t="s">
        <v>442</v>
      </c>
      <c r="PN2" s="12" t="s">
        <v>443</v>
      </c>
      <c r="PO2" s="12" t="s">
        <v>444</v>
      </c>
      <c r="PP2" s="12" t="s">
        <v>445</v>
      </c>
      <c r="PQ2" s="12" t="s">
        <v>446</v>
      </c>
      <c r="PR2" s="12" t="s">
        <v>447</v>
      </c>
      <c r="PS2" s="12" t="s">
        <v>448</v>
      </c>
      <c r="PT2" s="12" t="s">
        <v>449</v>
      </c>
      <c r="PU2" s="12" t="s">
        <v>450</v>
      </c>
      <c r="PV2" s="12" t="s">
        <v>451</v>
      </c>
      <c r="PW2" s="12" t="s">
        <v>2577</v>
      </c>
      <c r="PX2" s="12" t="s">
        <v>2548</v>
      </c>
      <c r="PY2" s="12" t="s">
        <v>454</v>
      </c>
      <c r="PZ2" s="12" t="s">
        <v>455</v>
      </c>
      <c r="QA2" s="12" t="s">
        <v>456</v>
      </c>
      <c r="QB2" s="12" t="s">
        <v>457</v>
      </c>
      <c r="QC2" s="12" t="s">
        <v>458</v>
      </c>
      <c r="QD2" s="12" t="s">
        <v>459</v>
      </c>
      <c r="QE2" s="12" t="s">
        <v>460</v>
      </c>
      <c r="QF2" s="12" t="s">
        <v>461</v>
      </c>
      <c r="QG2" s="12" t="s">
        <v>462</v>
      </c>
      <c r="QH2" s="12" t="s">
        <v>463</v>
      </c>
      <c r="QI2" s="12" t="s">
        <v>464</v>
      </c>
      <c r="QJ2" s="13" t="s">
        <v>465</v>
      </c>
      <c r="QK2" s="13" t="s">
        <v>466</v>
      </c>
      <c r="QL2" s="13" t="s">
        <v>467</v>
      </c>
      <c r="QM2" s="13" t="s">
        <v>468</v>
      </c>
      <c r="QN2" s="13" t="s">
        <v>469</v>
      </c>
      <c r="QO2" s="13" t="s">
        <v>470</v>
      </c>
      <c r="QP2" s="13" t="s">
        <v>471</v>
      </c>
      <c r="QQ2" s="13" t="s">
        <v>472</v>
      </c>
      <c r="QR2" s="13" t="s">
        <v>473</v>
      </c>
      <c r="QS2" s="14" t="s">
        <v>474</v>
      </c>
      <c r="QT2" s="14" t="s">
        <v>475</v>
      </c>
      <c r="QU2" s="14" t="s">
        <v>476</v>
      </c>
      <c r="QV2" s="14" t="s">
        <v>477</v>
      </c>
      <c r="QW2" s="15" t="s">
        <v>478</v>
      </c>
      <c r="QX2" s="15" t="s">
        <v>479</v>
      </c>
      <c r="QY2" s="15" t="s">
        <v>480</v>
      </c>
      <c r="QZ2" s="15" t="s">
        <v>481</v>
      </c>
      <c r="RA2" s="15" t="s">
        <v>482</v>
      </c>
      <c r="RB2" s="15" t="s">
        <v>483</v>
      </c>
      <c r="RC2" s="16" t="s">
        <v>484</v>
      </c>
      <c r="RD2" s="16" t="s">
        <v>485</v>
      </c>
      <c r="RE2" s="16" t="s">
        <v>486</v>
      </c>
      <c r="RF2" s="16" t="s">
        <v>487</v>
      </c>
      <c r="RG2" s="16" t="s">
        <v>488</v>
      </c>
      <c r="RH2" s="16" t="s">
        <v>489</v>
      </c>
      <c r="RI2" s="16" t="s">
        <v>490</v>
      </c>
      <c r="RJ2" s="16" t="s">
        <v>491</v>
      </c>
      <c r="RK2" s="16" t="s">
        <v>492</v>
      </c>
      <c r="RL2" s="16" t="s">
        <v>493</v>
      </c>
      <c r="RM2" s="16" t="s">
        <v>494</v>
      </c>
      <c r="RN2" s="16" t="s">
        <v>495</v>
      </c>
      <c r="RO2" s="16" t="s">
        <v>496</v>
      </c>
      <c r="RP2" s="16" t="s">
        <v>497</v>
      </c>
      <c r="RQ2" s="17" t="s">
        <v>498</v>
      </c>
      <c r="RR2" s="17" t="s">
        <v>499</v>
      </c>
      <c r="RS2" s="17" t="s">
        <v>500</v>
      </c>
      <c r="RT2" s="17" t="s">
        <v>501</v>
      </c>
      <c r="RU2" s="17" t="s">
        <v>502</v>
      </c>
      <c r="RV2" s="17" t="s">
        <v>503</v>
      </c>
      <c r="RW2" s="17" t="s">
        <v>504</v>
      </c>
      <c r="RX2" s="17" t="s">
        <v>505</v>
      </c>
      <c r="RY2" s="17" t="s">
        <v>506</v>
      </c>
      <c r="RZ2" s="17" t="s">
        <v>507</v>
      </c>
      <c r="SA2" s="17" t="s">
        <v>508</v>
      </c>
      <c r="SB2" s="18" t="s">
        <v>509</v>
      </c>
      <c r="SC2" s="18" t="s">
        <v>2622</v>
      </c>
      <c r="SD2" s="18" t="s">
        <v>511</v>
      </c>
      <c r="SE2" s="18" t="s">
        <v>512</v>
      </c>
      <c r="SF2" s="18" t="s">
        <v>513</v>
      </c>
      <c r="SG2" s="18" t="s">
        <v>514</v>
      </c>
      <c r="SH2" s="18" t="s">
        <v>515</v>
      </c>
      <c r="SI2" s="19" t="s">
        <v>516</v>
      </c>
      <c r="SJ2" s="19" t="s">
        <v>517</v>
      </c>
      <c r="SK2" s="19" t="s">
        <v>518</v>
      </c>
      <c r="SL2" s="19" t="s">
        <v>519</v>
      </c>
      <c r="SM2" s="19" t="s">
        <v>520</v>
      </c>
      <c r="SN2" s="19" t="s">
        <v>521</v>
      </c>
      <c r="SO2" s="19" t="s">
        <v>522</v>
      </c>
      <c r="SP2" s="19" t="s">
        <v>523</v>
      </c>
      <c r="SQ2" s="19" t="s">
        <v>524</v>
      </c>
      <c r="SR2" s="19" t="s">
        <v>525</v>
      </c>
      <c r="SS2" s="13" t="s">
        <v>526</v>
      </c>
      <c r="ST2" s="13" t="s">
        <v>527</v>
      </c>
      <c r="SU2" s="13" t="s">
        <v>528</v>
      </c>
      <c r="SV2" s="13" t="s">
        <v>2552</v>
      </c>
      <c r="SW2" s="111" t="s">
        <v>2557</v>
      </c>
      <c r="SX2" s="111" t="s">
        <v>2560</v>
      </c>
      <c r="SY2" s="111" t="s">
        <v>2561</v>
      </c>
      <c r="SZ2" s="111" t="s">
        <v>2562</v>
      </c>
      <c r="TA2" s="111" t="s">
        <v>2563</v>
      </c>
      <c r="TB2" s="111" t="s">
        <v>2564</v>
      </c>
      <c r="TC2" s="111" t="s">
        <v>2567</v>
      </c>
      <c r="TD2" s="111" t="s">
        <v>2571</v>
      </c>
      <c r="TE2" s="111" t="s">
        <v>2579</v>
      </c>
      <c r="TF2" s="111" t="s">
        <v>2580</v>
      </c>
      <c r="TG2" s="111" t="s">
        <v>2581</v>
      </c>
      <c r="TH2" s="111" t="s">
        <v>2582</v>
      </c>
      <c r="TI2" s="111" t="s">
        <v>2583</v>
      </c>
      <c r="TJ2" s="111" t="s">
        <v>2584</v>
      </c>
      <c r="TK2" s="111" t="s">
        <v>2585</v>
      </c>
      <c r="TL2" s="111" t="s">
        <v>2604</v>
      </c>
      <c r="TM2" s="111" t="s">
        <v>2586</v>
      </c>
      <c r="TN2" s="111" t="s">
        <v>2587</v>
      </c>
      <c r="TO2" s="111" t="s">
        <v>2588</v>
      </c>
      <c r="TP2" s="111" t="s">
        <v>2589</v>
      </c>
      <c r="TQ2" s="111" t="s">
        <v>2590</v>
      </c>
      <c r="TR2" s="111" t="s">
        <v>2591</v>
      </c>
      <c r="TS2" s="111" t="s">
        <v>2592</v>
      </c>
      <c r="TT2" s="111" t="s">
        <v>2605</v>
      </c>
      <c r="TU2" s="111" t="s">
        <v>2593</v>
      </c>
      <c r="TV2" s="111" t="s">
        <v>2594</v>
      </c>
      <c r="TW2" s="111" t="s">
        <v>2599</v>
      </c>
      <c r="TX2" s="111" t="s">
        <v>2598</v>
      </c>
      <c r="TY2" s="111" t="s">
        <v>2597</v>
      </c>
      <c r="TZ2" s="111" t="s">
        <v>2595</v>
      </c>
      <c r="UA2" s="111" t="s">
        <v>2596</v>
      </c>
      <c r="UB2" s="111" t="s">
        <v>2606</v>
      </c>
      <c r="UC2" s="111" t="s">
        <v>2600</v>
      </c>
      <c r="UD2" s="111" t="s">
        <v>2601</v>
      </c>
      <c r="UE2" s="111" t="s">
        <v>2602</v>
      </c>
      <c r="UF2" s="111" t="s">
        <v>2603</v>
      </c>
      <c r="UG2" s="111" t="s">
        <v>2615</v>
      </c>
      <c r="UH2" s="111" t="s">
        <v>2617</v>
      </c>
      <c r="UI2" s="111" t="s">
        <v>2618</v>
      </c>
      <c r="UJ2" s="111" t="s">
        <v>2620</v>
      </c>
      <c r="UK2" s="111" t="s">
        <v>2619</v>
      </c>
      <c r="UL2" s="111" t="s">
        <v>2624</v>
      </c>
      <c r="UM2" s="111" t="s">
        <v>2625</v>
      </c>
      <c r="UN2" s="13" t="s">
        <v>529</v>
      </c>
    </row>
    <row r="3" spans="1:560" ht="19.5" customHeight="1" x14ac:dyDescent="0.25"/>
  </sheetData>
  <autoFilter ref="A2:UN2" xr:uid="{00000000-0009-0000-0000-000000000000}"/>
  <mergeCells count="15">
    <mergeCell ref="RC1:RP1"/>
    <mergeCell ref="RQ1:SA1"/>
    <mergeCell ref="SB1:SH1"/>
    <mergeCell ref="SI1:SR1"/>
    <mergeCell ref="SS1:UN1"/>
    <mergeCell ref="GL1:MA1"/>
    <mergeCell ref="MB1:QI1"/>
    <mergeCell ref="QJ1:QR1"/>
    <mergeCell ref="QS1:QV1"/>
    <mergeCell ref="QW1:RB1"/>
    <mergeCell ref="A1:AA1"/>
    <mergeCell ref="AB1:AM1"/>
    <mergeCell ref="AN1:BT1"/>
    <mergeCell ref="BU1:EM1"/>
    <mergeCell ref="EN1:GK1"/>
  </mergeCells>
  <conditionalFormatting sqref="M3:M1048576">
    <cfRule type="expression" dxfId="3" priority="2">
      <formula>AND(M3="",A3&lt;&gt;"")</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516"/>
  <sheetViews>
    <sheetView topLeftCell="F1" zoomScaleNormal="100" workbookViewId="0">
      <pane ySplit="1" topLeftCell="A75" activePane="bottomLeft" state="frozen"/>
      <selection pane="bottomLeft" sqref="A1:U1"/>
    </sheetView>
  </sheetViews>
  <sheetFormatPr defaultColWidth="8.7109375" defaultRowHeight="15" x14ac:dyDescent="0.25"/>
  <cols>
    <col min="1" max="1" width="6" customWidth="1"/>
    <col min="2" max="3" width="40" customWidth="1"/>
    <col min="4" max="4" width="35" customWidth="1"/>
    <col min="5" max="5" width="25" customWidth="1"/>
    <col min="6" max="6" width="60" customWidth="1"/>
    <col min="7" max="7" width="18" customWidth="1"/>
    <col min="8" max="8" width="22" customWidth="1"/>
    <col min="9" max="9" width="25" customWidth="1"/>
    <col min="10" max="10" width="45" customWidth="1"/>
    <col min="11" max="11" width="35" customWidth="1"/>
    <col min="12" max="12" width="25" customWidth="1"/>
    <col min="13" max="13" width="55" customWidth="1"/>
    <col min="14" max="14" width="45" customWidth="1"/>
    <col min="15" max="17" width="40" customWidth="1"/>
    <col min="18" max="18" width="18" customWidth="1"/>
    <col min="19" max="19" width="22" customWidth="1"/>
    <col min="20" max="20" width="60" customWidth="1"/>
    <col min="21" max="21" width="40" customWidth="1"/>
  </cols>
  <sheetData>
    <row r="1" spans="1:21" ht="45" customHeight="1" x14ac:dyDescent="0.25">
      <c r="A1" s="5" t="s">
        <v>530</v>
      </c>
      <c r="B1" s="5" t="s">
        <v>531</v>
      </c>
      <c r="C1" s="5" t="s">
        <v>532</v>
      </c>
      <c r="D1" s="5" t="s">
        <v>533</v>
      </c>
      <c r="E1" s="5" t="s">
        <v>534</v>
      </c>
      <c r="F1" s="5" t="s">
        <v>535</v>
      </c>
      <c r="G1" s="5" t="s">
        <v>536</v>
      </c>
      <c r="H1" s="5" t="s">
        <v>537</v>
      </c>
      <c r="I1" s="5" t="s">
        <v>538</v>
      </c>
      <c r="J1" s="5" t="s">
        <v>539</v>
      </c>
      <c r="K1" s="5" t="s">
        <v>540</v>
      </c>
      <c r="L1" s="5" t="s">
        <v>541</v>
      </c>
      <c r="M1" s="5" t="s">
        <v>542</v>
      </c>
      <c r="N1" s="5" t="s">
        <v>543</v>
      </c>
      <c r="O1" s="5" t="s">
        <v>544</v>
      </c>
      <c r="P1" s="5" t="s">
        <v>545</v>
      </c>
      <c r="Q1" s="5" t="s">
        <v>546</v>
      </c>
      <c r="R1" s="5" t="s">
        <v>547</v>
      </c>
      <c r="S1" s="5" t="s">
        <v>548</v>
      </c>
      <c r="T1" s="5" t="s">
        <v>549</v>
      </c>
      <c r="U1" s="5" t="s">
        <v>516</v>
      </c>
    </row>
    <row r="2" spans="1:21" ht="45" customHeight="1" x14ac:dyDescent="0.25">
      <c r="A2" s="20">
        <v>1</v>
      </c>
      <c r="B2" s="20" t="s">
        <v>15</v>
      </c>
      <c r="C2" s="20" t="s">
        <v>15</v>
      </c>
      <c r="D2" s="21" t="s">
        <v>0</v>
      </c>
      <c r="E2" s="22" t="s">
        <v>550</v>
      </c>
      <c r="F2" s="22" t="s">
        <v>551</v>
      </c>
      <c r="G2" s="23" t="s">
        <v>552</v>
      </c>
      <c r="H2" s="22" t="s">
        <v>553</v>
      </c>
      <c r="I2" s="22" t="s">
        <v>554</v>
      </c>
      <c r="J2" s="22" t="s">
        <v>555</v>
      </c>
      <c r="K2" s="22" t="s">
        <v>556</v>
      </c>
      <c r="L2" s="22" t="s">
        <v>557</v>
      </c>
      <c r="M2" s="22"/>
      <c r="N2" s="22"/>
      <c r="O2" s="22"/>
      <c r="P2" s="22"/>
      <c r="Q2" s="22"/>
      <c r="R2" s="22" t="s">
        <v>558</v>
      </c>
      <c r="S2" s="22" t="s">
        <v>559</v>
      </c>
      <c r="T2" s="22" t="s">
        <v>560</v>
      </c>
      <c r="U2" s="22" t="s">
        <v>561</v>
      </c>
    </row>
    <row r="3" spans="1:21" ht="45" customHeight="1" x14ac:dyDescent="0.25">
      <c r="A3" s="24">
        <v>2</v>
      </c>
      <c r="B3" s="24" t="s">
        <v>16</v>
      </c>
      <c r="C3" s="24" t="s">
        <v>16</v>
      </c>
      <c r="D3" s="21" t="s">
        <v>0</v>
      </c>
      <c r="E3" s="25" t="s">
        <v>562</v>
      </c>
      <c r="F3" s="25" t="s">
        <v>563</v>
      </c>
      <c r="G3" s="26" t="s">
        <v>552</v>
      </c>
      <c r="H3" s="25" t="s">
        <v>564</v>
      </c>
      <c r="I3" s="25" t="s">
        <v>554</v>
      </c>
      <c r="J3" s="25" t="s">
        <v>565</v>
      </c>
      <c r="K3" s="25" t="s">
        <v>566</v>
      </c>
      <c r="L3" s="25" t="s">
        <v>567</v>
      </c>
      <c r="M3" s="25"/>
      <c r="N3" s="25"/>
      <c r="O3" s="25" t="s">
        <v>568</v>
      </c>
      <c r="P3" s="25" t="s">
        <v>569</v>
      </c>
      <c r="Q3" s="25"/>
      <c r="R3" s="25" t="s">
        <v>570</v>
      </c>
      <c r="S3" s="25" t="s">
        <v>559</v>
      </c>
      <c r="T3" s="25" t="s">
        <v>571</v>
      </c>
      <c r="U3" s="25" t="s">
        <v>561</v>
      </c>
    </row>
    <row r="4" spans="1:21" ht="45" customHeight="1" x14ac:dyDescent="0.25">
      <c r="A4" s="20">
        <v>3</v>
      </c>
      <c r="B4" s="20" t="s">
        <v>17</v>
      </c>
      <c r="C4" s="20" t="s">
        <v>17</v>
      </c>
      <c r="D4" s="21" t="s">
        <v>0</v>
      </c>
      <c r="E4" s="22" t="s">
        <v>562</v>
      </c>
      <c r="F4" s="22" t="s">
        <v>572</v>
      </c>
      <c r="G4" s="20" t="s">
        <v>573</v>
      </c>
      <c r="H4" s="22" t="s">
        <v>564</v>
      </c>
      <c r="I4" s="22" t="s">
        <v>554</v>
      </c>
      <c r="J4" s="22" t="s">
        <v>565</v>
      </c>
      <c r="K4" s="22" t="s">
        <v>566</v>
      </c>
      <c r="L4" s="22" t="s">
        <v>567</v>
      </c>
      <c r="M4" s="22"/>
      <c r="N4" s="22"/>
      <c r="O4" s="22" t="s">
        <v>568</v>
      </c>
      <c r="P4" s="22" t="s">
        <v>569</v>
      </c>
      <c r="Q4" s="22"/>
      <c r="R4" s="22" t="s">
        <v>570</v>
      </c>
      <c r="S4" s="22" t="s">
        <v>559</v>
      </c>
      <c r="T4" s="22" t="s">
        <v>574</v>
      </c>
      <c r="U4" s="22"/>
    </row>
    <row r="5" spans="1:21" ht="45" customHeight="1" x14ac:dyDescent="0.25">
      <c r="A5" s="24">
        <v>4</v>
      </c>
      <c r="B5" s="24" t="s">
        <v>18</v>
      </c>
      <c r="C5" s="24" t="s">
        <v>18</v>
      </c>
      <c r="D5" s="21" t="s">
        <v>0</v>
      </c>
      <c r="E5" s="25" t="s">
        <v>562</v>
      </c>
      <c r="F5" s="25" t="s">
        <v>575</v>
      </c>
      <c r="G5" s="24" t="s">
        <v>573</v>
      </c>
      <c r="H5" s="25" t="s">
        <v>564</v>
      </c>
      <c r="I5" s="25" t="s">
        <v>554</v>
      </c>
      <c r="J5" s="25" t="s">
        <v>565</v>
      </c>
      <c r="K5" s="25" t="s">
        <v>566</v>
      </c>
      <c r="L5" s="25" t="s">
        <v>567</v>
      </c>
      <c r="M5" s="25"/>
      <c r="N5" s="25"/>
      <c r="O5" s="25" t="s">
        <v>568</v>
      </c>
      <c r="P5" s="25" t="s">
        <v>569</v>
      </c>
      <c r="Q5" s="25"/>
      <c r="R5" s="25" t="s">
        <v>570</v>
      </c>
      <c r="S5" s="25" t="s">
        <v>559</v>
      </c>
      <c r="T5" s="25" t="s">
        <v>576</v>
      </c>
      <c r="U5" s="25"/>
    </row>
    <row r="6" spans="1:21" ht="45" customHeight="1" x14ac:dyDescent="0.25">
      <c r="A6" s="20">
        <v>5</v>
      </c>
      <c r="B6" s="20" t="s">
        <v>19</v>
      </c>
      <c r="C6" s="20" t="s">
        <v>19</v>
      </c>
      <c r="D6" s="21" t="s">
        <v>0</v>
      </c>
      <c r="E6" s="22" t="s">
        <v>562</v>
      </c>
      <c r="F6" s="22" t="s">
        <v>577</v>
      </c>
      <c r="G6" s="20" t="s">
        <v>573</v>
      </c>
      <c r="H6" s="22" t="s">
        <v>564</v>
      </c>
      <c r="I6" s="22" t="s">
        <v>554</v>
      </c>
      <c r="J6" s="22" t="s">
        <v>578</v>
      </c>
      <c r="K6" s="22" t="s">
        <v>579</v>
      </c>
      <c r="L6" s="22" t="s">
        <v>557</v>
      </c>
      <c r="M6" s="22"/>
      <c r="N6" s="22" t="s">
        <v>580</v>
      </c>
      <c r="O6" s="22" t="s">
        <v>568</v>
      </c>
      <c r="P6" s="22"/>
      <c r="Q6" s="22"/>
      <c r="R6" s="22" t="s">
        <v>570</v>
      </c>
      <c r="S6" s="22" t="s">
        <v>559</v>
      </c>
      <c r="T6" s="22" t="s">
        <v>581</v>
      </c>
      <c r="U6" s="22"/>
    </row>
    <row r="7" spans="1:21" ht="45" customHeight="1" x14ac:dyDescent="0.25">
      <c r="A7" s="24">
        <v>6</v>
      </c>
      <c r="B7" s="24" t="s">
        <v>20</v>
      </c>
      <c r="C7" s="24" t="s">
        <v>20</v>
      </c>
      <c r="D7" s="21" t="s">
        <v>0</v>
      </c>
      <c r="E7" s="25" t="s">
        <v>562</v>
      </c>
      <c r="F7" s="25" t="s">
        <v>582</v>
      </c>
      <c r="G7" s="24" t="s">
        <v>573</v>
      </c>
      <c r="H7" s="25" t="s">
        <v>564</v>
      </c>
      <c r="I7" s="25" t="s">
        <v>554</v>
      </c>
      <c r="J7" s="25" t="s">
        <v>565</v>
      </c>
      <c r="K7" s="25" t="s">
        <v>566</v>
      </c>
      <c r="L7" s="25" t="s">
        <v>567</v>
      </c>
      <c r="M7" s="25"/>
      <c r="N7" s="25"/>
      <c r="O7" s="25" t="s">
        <v>568</v>
      </c>
      <c r="P7" s="25" t="s">
        <v>569</v>
      </c>
      <c r="Q7" s="25"/>
      <c r="R7" s="25" t="s">
        <v>570</v>
      </c>
      <c r="S7" s="25" t="s">
        <v>559</v>
      </c>
      <c r="T7" s="25" t="s">
        <v>583</v>
      </c>
      <c r="U7" s="25"/>
    </row>
    <row r="8" spans="1:21" ht="45" customHeight="1" x14ac:dyDescent="0.25">
      <c r="A8" s="20">
        <v>7</v>
      </c>
      <c r="B8" s="20" t="s">
        <v>21</v>
      </c>
      <c r="C8" s="20" t="s">
        <v>21</v>
      </c>
      <c r="D8" s="21" t="s">
        <v>0</v>
      </c>
      <c r="E8" s="22" t="s">
        <v>562</v>
      </c>
      <c r="F8" s="22" t="s">
        <v>584</v>
      </c>
      <c r="G8" s="20" t="s">
        <v>573</v>
      </c>
      <c r="H8" s="22" t="s">
        <v>564</v>
      </c>
      <c r="I8" s="22" t="s">
        <v>554</v>
      </c>
      <c r="J8" s="22" t="s">
        <v>565</v>
      </c>
      <c r="K8" s="22" t="s">
        <v>566</v>
      </c>
      <c r="L8" s="22" t="s">
        <v>567</v>
      </c>
      <c r="M8" s="22"/>
      <c r="N8" s="22"/>
      <c r="O8" s="22" t="s">
        <v>568</v>
      </c>
      <c r="P8" s="22" t="s">
        <v>569</v>
      </c>
      <c r="Q8" s="22"/>
      <c r="R8" s="22" t="s">
        <v>570</v>
      </c>
      <c r="S8" s="22" t="s">
        <v>559</v>
      </c>
      <c r="T8" s="22" t="s">
        <v>585</v>
      </c>
      <c r="U8" s="22"/>
    </row>
    <row r="9" spans="1:21" ht="45" customHeight="1" x14ac:dyDescent="0.25">
      <c r="A9" s="24">
        <v>8</v>
      </c>
      <c r="B9" s="24" t="s">
        <v>22</v>
      </c>
      <c r="C9" s="24" t="s">
        <v>22</v>
      </c>
      <c r="D9" s="21" t="s">
        <v>0</v>
      </c>
      <c r="E9" s="25" t="s">
        <v>550</v>
      </c>
      <c r="F9" s="25" t="s">
        <v>586</v>
      </c>
      <c r="G9" s="24" t="s">
        <v>573</v>
      </c>
      <c r="H9" s="25" t="s">
        <v>564</v>
      </c>
      <c r="I9" s="25" t="s">
        <v>554</v>
      </c>
      <c r="J9" s="25" t="s">
        <v>565</v>
      </c>
      <c r="K9" s="25" t="s">
        <v>566</v>
      </c>
      <c r="L9" s="25" t="s">
        <v>567</v>
      </c>
      <c r="M9" s="25"/>
      <c r="N9" s="25"/>
      <c r="O9" s="25" t="s">
        <v>568</v>
      </c>
      <c r="P9" s="25" t="s">
        <v>569</v>
      </c>
      <c r="Q9" s="25"/>
      <c r="R9" s="25" t="s">
        <v>570</v>
      </c>
      <c r="S9" s="25" t="s">
        <v>559</v>
      </c>
      <c r="T9" s="25" t="s">
        <v>587</v>
      </c>
      <c r="U9" s="25"/>
    </row>
    <row r="10" spans="1:21" ht="45" customHeight="1" x14ac:dyDescent="0.25">
      <c r="A10" s="20">
        <v>9</v>
      </c>
      <c r="B10" s="20" t="s">
        <v>23</v>
      </c>
      <c r="C10" s="20" t="s">
        <v>23</v>
      </c>
      <c r="D10" s="21" t="s">
        <v>0</v>
      </c>
      <c r="E10" s="22" t="s">
        <v>588</v>
      </c>
      <c r="F10" s="22" t="s">
        <v>589</v>
      </c>
      <c r="G10" s="23" t="s">
        <v>552</v>
      </c>
      <c r="H10" s="22" t="s">
        <v>553</v>
      </c>
      <c r="I10" s="22" t="s">
        <v>554</v>
      </c>
      <c r="J10" s="22" t="s">
        <v>555</v>
      </c>
      <c r="K10" s="22" t="s">
        <v>556</v>
      </c>
      <c r="L10" s="22" t="s">
        <v>557</v>
      </c>
      <c r="M10" s="22"/>
      <c r="N10" s="22"/>
      <c r="O10" s="22"/>
      <c r="P10" s="22"/>
      <c r="Q10" s="22"/>
      <c r="R10" s="22" t="s">
        <v>558</v>
      </c>
      <c r="S10" s="22" t="s">
        <v>559</v>
      </c>
      <c r="T10" s="22" t="s">
        <v>590</v>
      </c>
      <c r="U10" s="22" t="s">
        <v>591</v>
      </c>
    </row>
    <row r="11" spans="1:21" ht="45" customHeight="1" x14ac:dyDescent="0.25">
      <c r="A11" s="24">
        <v>10</v>
      </c>
      <c r="B11" s="24" t="s">
        <v>24</v>
      </c>
      <c r="C11" s="24" t="s">
        <v>24</v>
      </c>
      <c r="D11" s="21" t="s">
        <v>0</v>
      </c>
      <c r="E11" s="25" t="s">
        <v>550</v>
      </c>
      <c r="F11" s="25" t="s">
        <v>592</v>
      </c>
      <c r="G11" s="24" t="s">
        <v>573</v>
      </c>
      <c r="H11" s="25" t="s">
        <v>553</v>
      </c>
      <c r="I11" s="25" t="s">
        <v>554</v>
      </c>
      <c r="J11" s="25" t="s">
        <v>555</v>
      </c>
      <c r="K11" s="25" t="s">
        <v>579</v>
      </c>
      <c r="L11" s="25" t="s">
        <v>557</v>
      </c>
      <c r="M11" s="25"/>
      <c r="N11" s="25"/>
      <c r="O11" s="25"/>
      <c r="P11" s="25"/>
      <c r="Q11" s="25"/>
      <c r="R11" s="25" t="s">
        <v>558</v>
      </c>
      <c r="S11" s="25" t="s">
        <v>559</v>
      </c>
      <c r="T11" s="25" t="s">
        <v>593</v>
      </c>
      <c r="U11" s="25"/>
    </row>
    <row r="12" spans="1:21" ht="45" customHeight="1" x14ac:dyDescent="0.25">
      <c r="A12" s="20">
        <v>11</v>
      </c>
      <c r="B12" s="20" t="s">
        <v>25</v>
      </c>
      <c r="C12" s="20" t="s">
        <v>25</v>
      </c>
      <c r="D12" s="21" t="s">
        <v>0</v>
      </c>
      <c r="E12" s="22" t="s">
        <v>550</v>
      </c>
      <c r="F12" s="22" t="s">
        <v>594</v>
      </c>
      <c r="G12" s="23" t="s">
        <v>552</v>
      </c>
      <c r="H12" s="22" t="s">
        <v>553</v>
      </c>
      <c r="I12" s="22" t="s">
        <v>554</v>
      </c>
      <c r="J12" s="22" t="s">
        <v>555</v>
      </c>
      <c r="K12" s="22" t="s">
        <v>579</v>
      </c>
      <c r="L12" s="22" t="s">
        <v>557</v>
      </c>
      <c r="M12" s="22"/>
      <c r="N12" s="22" t="s">
        <v>580</v>
      </c>
      <c r="O12" s="22"/>
      <c r="P12" s="22"/>
      <c r="Q12" s="22"/>
      <c r="R12" s="22" t="s">
        <v>558</v>
      </c>
      <c r="S12" s="22" t="s">
        <v>559</v>
      </c>
      <c r="T12" s="22" t="s">
        <v>595</v>
      </c>
      <c r="U12" s="22" t="s">
        <v>561</v>
      </c>
    </row>
    <row r="13" spans="1:21" ht="45" customHeight="1" x14ac:dyDescent="0.25">
      <c r="A13" s="24">
        <v>12</v>
      </c>
      <c r="B13" s="24" t="s">
        <v>26</v>
      </c>
      <c r="C13" s="24" t="s">
        <v>26</v>
      </c>
      <c r="D13" s="21" t="s">
        <v>0</v>
      </c>
      <c r="E13" s="25" t="s">
        <v>550</v>
      </c>
      <c r="F13" s="25" t="s">
        <v>596</v>
      </c>
      <c r="G13" s="24" t="s">
        <v>573</v>
      </c>
      <c r="H13" s="25" t="s">
        <v>553</v>
      </c>
      <c r="I13" s="25" t="s">
        <v>554</v>
      </c>
      <c r="J13" s="25" t="s">
        <v>555</v>
      </c>
      <c r="K13" s="25" t="s">
        <v>579</v>
      </c>
      <c r="L13" s="25" t="s">
        <v>557</v>
      </c>
      <c r="M13" s="25"/>
      <c r="N13" s="25" t="s">
        <v>580</v>
      </c>
      <c r="O13" s="25"/>
      <c r="P13" s="25"/>
      <c r="Q13" s="25"/>
      <c r="R13" s="25" t="s">
        <v>558</v>
      </c>
      <c r="S13" s="25" t="s">
        <v>559</v>
      </c>
      <c r="T13" s="25" t="s">
        <v>597</v>
      </c>
      <c r="U13" s="25"/>
    </row>
    <row r="14" spans="1:21" ht="45" customHeight="1" x14ac:dyDescent="0.25">
      <c r="A14" s="20">
        <v>13</v>
      </c>
      <c r="B14" s="20" t="s">
        <v>27</v>
      </c>
      <c r="C14" s="20" t="s">
        <v>27</v>
      </c>
      <c r="D14" s="21" t="s">
        <v>0</v>
      </c>
      <c r="E14" s="22" t="s">
        <v>598</v>
      </c>
      <c r="F14" s="22" t="s">
        <v>599</v>
      </c>
      <c r="G14" s="23" t="s">
        <v>552</v>
      </c>
      <c r="H14" s="22" t="s">
        <v>600</v>
      </c>
      <c r="I14" s="22" t="s">
        <v>554</v>
      </c>
      <c r="J14" s="22" t="s">
        <v>601</v>
      </c>
      <c r="K14" s="22" t="s">
        <v>556</v>
      </c>
      <c r="L14" s="22" t="s">
        <v>557</v>
      </c>
      <c r="M14" s="22"/>
      <c r="N14" s="22" t="s">
        <v>602</v>
      </c>
      <c r="O14" s="22" t="s">
        <v>568</v>
      </c>
      <c r="P14" s="22"/>
      <c r="Q14" s="22"/>
      <c r="R14" s="22" t="s">
        <v>570</v>
      </c>
      <c r="S14" s="22" t="s">
        <v>559</v>
      </c>
      <c r="T14" s="22" t="s">
        <v>603</v>
      </c>
      <c r="U14" s="22" t="s">
        <v>591</v>
      </c>
    </row>
    <row r="15" spans="1:21" ht="45" customHeight="1" x14ac:dyDescent="0.25">
      <c r="A15" s="24">
        <v>14</v>
      </c>
      <c r="B15" s="24" t="s">
        <v>28</v>
      </c>
      <c r="C15" s="24" t="s">
        <v>28</v>
      </c>
      <c r="D15" s="21" t="s">
        <v>0</v>
      </c>
      <c r="E15" s="25" t="s">
        <v>550</v>
      </c>
      <c r="F15" s="25" t="s">
        <v>604</v>
      </c>
      <c r="G15" s="26" t="s">
        <v>552</v>
      </c>
      <c r="H15" s="25" t="s">
        <v>553</v>
      </c>
      <c r="I15" s="25" t="s">
        <v>554</v>
      </c>
      <c r="J15" s="25" t="s">
        <v>555</v>
      </c>
      <c r="K15" s="25" t="s">
        <v>556</v>
      </c>
      <c r="L15" s="25" t="s">
        <v>557</v>
      </c>
      <c r="M15" s="25"/>
      <c r="N15" s="25"/>
      <c r="O15" s="25"/>
      <c r="P15" s="25"/>
      <c r="Q15" s="25"/>
      <c r="R15" s="25" t="s">
        <v>558</v>
      </c>
      <c r="S15" s="25" t="s">
        <v>559</v>
      </c>
      <c r="T15" s="25" t="s">
        <v>605</v>
      </c>
      <c r="U15" s="25" t="s">
        <v>561</v>
      </c>
    </row>
    <row r="16" spans="1:21" ht="45" customHeight="1" x14ac:dyDescent="0.25">
      <c r="A16" s="20">
        <v>15</v>
      </c>
      <c r="B16" s="20" t="s">
        <v>29</v>
      </c>
      <c r="C16" s="20" t="s">
        <v>29</v>
      </c>
      <c r="D16" s="21" t="s">
        <v>0</v>
      </c>
      <c r="E16" s="22" t="s">
        <v>550</v>
      </c>
      <c r="F16" s="22" t="s">
        <v>606</v>
      </c>
      <c r="G16" s="20" t="s">
        <v>573</v>
      </c>
      <c r="H16" s="22" t="s">
        <v>600</v>
      </c>
      <c r="I16" s="22" t="s">
        <v>554</v>
      </c>
      <c r="J16" s="22" t="s">
        <v>578</v>
      </c>
      <c r="K16" s="22" t="s">
        <v>556</v>
      </c>
      <c r="L16" s="22" t="s">
        <v>557</v>
      </c>
      <c r="M16" s="22"/>
      <c r="N16" s="22"/>
      <c r="O16" s="22"/>
      <c r="P16" s="22"/>
      <c r="Q16" s="22"/>
      <c r="R16" s="22" t="s">
        <v>558</v>
      </c>
      <c r="S16" s="22" t="s">
        <v>559</v>
      </c>
      <c r="T16" s="22" t="s">
        <v>607</v>
      </c>
      <c r="U16" s="22"/>
    </row>
    <row r="17" spans="1:21" ht="45" customHeight="1" x14ac:dyDescent="0.25">
      <c r="A17" s="24">
        <v>16</v>
      </c>
      <c r="B17" s="24" t="s">
        <v>30</v>
      </c>
      <c r="C17" s="24" t="s">
        <v>30</v>
      </c>
      <c r="D17" s="21" t="s">
        <v>0</v>
      </c>
      <c r="E17" s="25" t="s">
        <v>608</v>
      </c>
      <c r="F17" s="25" t="s">
        <v>609</v>
      </c>
      <c r="G17" s="26" t="s">
        <v>552</v>
      </c>
      <c r="H17" s="25" t="s">
        <v>610</v>
      </c>
      <c r="I17" s="25" t="s">
        <v>554</v>
      </c>
      <c r="J17" s="25" t="s">
        <v>578</v>
      </c>
      <c r="K17" s="25" t="s">
        <v>611</v>
      </c>
      <c r="L17" s="25" t="s">
        <v>567</v>
      </c>
      <c r="M17" s="25"/>
      <c r="N17" s="25" t="s">
        <v>612</v>
      </c>
      <c r="O17" s="25" t="s">
        <v>568</v>
      </c>
      <c r="P17" s="25" t="s">
        <v>569</v>
      </c>
      <c r="Q17" s="25"/>
      <c r="R17" s="25" t="s">
        <v>570</v>
      </c>
      <c r="S17" s="25" t="s">
        <v>559</v>
      </c>
      <c r="T17" s="25" t="s">
        <v>613</v>
      </c>
      <c r="U17" s="25" t="s">
        <v>591</v>
      </c>
    </row>
    <row r="18" spans="1:21" ht="45" customHeight="1" x14ac:dyDescent="0.25">
      <c r="A18" s="20">
        <v>17</v>
      </c>
      <c r="B18" s="20" t="s">
        <v>31</v>
      </c>
      <c r="C18" s="20" t="s">
        <v>31</v>
      </c>
      <c r="D18" s="21" t="s">
        <v>0</v>
      </c>
      <c r="E18" s="22" t="s">
        <v>608</v>
      </c>
      <c r="F18" s="22" t="s">
        <v>614</v>
      </c>
      <c r="G18" s="23" t="s">
        <v>552</v>
      </c>
      <c r="H18" s="22" t="s">
        <v>610</v>
      </c>
      <c r="I18" s="22" t="s">
        <v>554</v>
      </c>
      <c r="J18" s="22" t="s">
        <v>578</v>
      </c>
      <c r="K18" s="22" t="s">
        <v>611</v>
      </c>
      <c r="L18" s="22" t="s">
        <v>567</v>
      </c>
      <c r="M18" s="22"/>
      <c r="N18" s="22" t="s">
        <v>612</v>
      </c>
      <c r="O18" s="22" t="s">
        <v>568</v>
      </c>
      <c r="P18" s="22" t="s">
        <v>569</v>
      </c>
      <c r="Q18" s="22"/>
      <c r="R18" s="22" t="s">
        <v>570</v>
      </c>
      <c r="S18" s="22" t="s">
        <v>559</v>
      </c>
      <c r="T18" s="22" t="s">
        <v>615</v>
      </c>
      <c r="U18" s="22" t="s">
        <v>591</v>
      </c>
    </row>
    <row r="19" spans="1:21" ht="45" customHeight="1" x14ac:dyDescent="0.25">
      <c r="A19" s="24">
        <v>18</v>
      </c>
      <c r="B19" s="24" t="s">
        <v>32</v>
      </c>
      <c r="C19" s="24" t="s">
        <v>32</v>
      </c>
      <c r="D19" s="21" t="s">
        <v>0</v>
      </c>
      <c r="E19" s="25" t="s">
        <v>608</v>
      </c>
      <c r="F19" s="25" t="s">
        <v>616</v>
      </c>
      <c r="G19" s="26" t="s">
        <v>552</v>
      </c>
      <c r="H19" s="25" t="s">
        <v>610</v>
      </c>
      <c r="I19" s="25" t="s">
        <v>554</v>
      </c>
      <c r="J19" s="25" t="s">
        <v>578</v>
      </c>
      <c r="K19" s="25" t="s">
        <v>611</v>
      </c>
      <c r="L19" s="25" t="s">
        <v>567</v>
      </c>
      <c r="M19" s="25"/>
      <c r="N19" s="25" t="s">
        <v>612</v>
      </c>
      <c r="O19" s="25" t="s">
        <v>568</v>
      </c>
      <c r="P19" s="25" t="s">
        <v>569</v>
      </c>
      <c r="Q19" s="25"/>
      <c r="R19" s="25" t="s">
        <v>570</v>
      </c>
      <c r="S19" s="25" t="s">
        <v>559</v>
      </c>
      <c r="T19" s="25" t="s">
        <v>617</v>
      </c>
      <c r="U19" s="25" t="s">
        <v>591</v>
      </c>
    </row>
    <row r="20" spans="1:21" ht="45" customHeight="1" x14ac:dyDescent="0.25">
      <c r="A20" s="20">
        <v>19</v>
      </c>
      <c r="B20" s="20" t="s">
        <v>33</v>
      </c>
      <c r="C20" s="20" t="s">
        <v>33</v>
      </c>
      <c r="D20" s="21" t="s">
        <v>0</v>
      </c>
      <c r="E20" s="22" t="s">
        <v>562</v>
      </c>
      <c r="F20" s="22" t="s">
        <v>618</v>
      </c>
      <c r="G20" s="23" t="s">
        <v>552</v>
      </c>
      <c r="H20" s="22" t="s">
        <v>553</v>
      </c>
      <c r="I20" s="22" t="s">
        <v>554</v>
      </c>
      <c r="J20" s="22" t="s">
        <v>555</v>
      </c>
      <c r="K20" s="22" t="s">
        <v>579</v>
      </c>
      <c r="L20" s="22" t="s">
        <v>557</v>
      </c>
      <c r="M20" s="22"/>
      <c r="N20" s="22" t="s">
        <v>619</v>
      </c>
      <c r="O20" s="22" t="s">
        <v>568</v>
      </c>
      <c r="P20" s="22"/>
      <c r="Q20" s="22"/>
      <c r="R20" s="22" t="s">
        <v>570</v>
      </c>
      <c r="S20" s="22" t="s">
        <v>559</v>
      </c>
      <c r="T20" s="22" t="s">
        <v>620</v>
      </c>
      <c r="U20" s="22" t="s">
        <v>561</v>
      </c>
    </row>
    <row r="21" spans="1:21" ht="45" customHeight="1" x14ac:dyDescent="0.25">
      <c r="A21" s="24">
        <v>20</v>
      </c>
      <c r="B21" s="24" t="s">
        <v>34</v>
      </c>
      <c r="C21" s="24" t="s">
        <v>34</v>
      </c>
      <c r="D21" s="21" t="s">
        <v>0</v>
      </c>
      <c r="E21" s="25" t="s">
        <v>588</v>
      </c>
      <c r="F21" s="25" t="s">
        <v>621</v>
      </c>
      <c r="G21" s="24" t="s">
        <v>573</v>
      </c>
      <c r="H21" s="25" t="s">
        <v>553</v>
      </c>
      <c r="I21" s="25" t="s">
        <v>554</v>
      </c>
      <c r="J21" s="25" t="s">
        <v>555</v>
      </c>
      <c r="K21" s="25" t="s">
        <v>556</v>
      </c>
      <c r="L21" s="25" t="s">
        <v>557</v>
      </c>
      <c r="M21" s="25"/>
      <c r="N21" s="25"/>
      <c r="O21" s="25"/>
      <c r="P21" s="25"/>
      <c r="Q21" s="25"/>
      <c r="R21" s="25" t="s">
        <v>558</v>
      </c>
      <c r="S21" s="25" t="s">
        <v>559</v>
      </c>
      <c r="T21" s="25" t="s">
        <v>622</v>
      </c>
      <c r="U21" s="25"/>
    </row>
    <row r="22" spans="1:21" ht="45" customHeight="1" x14ac:dyDescent="0.25">
      <c r="A22" s="20">
        <v>21</v>
      </c>
      <c r="B22" s="20" t="s">
        <v>35</v>
      </c>
      <c r="C22" s="20" t="s">
        <v>35</v>
      </c>
      <c r="D22" s="21" t="s">
        <v>0</v>
      </c>
      <c r="E22" s="22" t="s">
        <v>608</v>
      </c>
      <c r="F22" s="22" t="s">
        <v>623</v>
      </c>
      <c r="G22" s="23" t="s">
        <v>552</v>
      </c>
      <c r="H22" s="22" t="s">
        <v>610</v>
      </c>
      <c r="I22" s="22" t="s">
        <v>554</v>
      </c>
      <c r="J22" s="22" t="s">
        <v>578</v>
      </c>
      <c r="K22" s="22" t="s">
        <v>611</v>
      </c>
      <c r="L22" s="22" t="s">
        <v>567</v>
      </c>
      <c r="M22" s="22"/>
      <c r="N22" s="22" t="s">
        <v>612</v>
      </c>
      <c r="O22" s="22" t="s">
        <v>568</v>
      </c>
      <c r="P22" s="22" t="s">
        <v>569</v>
      </c>
      <c r="Q22" s="22"/>
      <c r="R22" s="22" t="s">
        <v>570</v>
      </c>
      <c r="S22" s="22" t="s">
        <v>559</v>
      </c>
      <c r="T22" s="22" t="s">
        <v>624</v>
      </c>
      <c r="U22" s="22" t="s">
        <v>591</v>
      </c>
    </row>
    <row r="23" spans="1:21" ht="45" customHeight="1" x14ac:dyDescent="0.25">
      <c r="A23" s="24">
        <v>22</v>
      </c>
      <c r="B23" s="24" t="s">
        <v>36</v>
      </c>
      <c r="C23" s="24" t="s">
        <v>36</v>
      </c>
      <c r="D23" s="21" t="s">
        <v>0</v>
      </c>
      <c r="E23" s="25" t="s">
        <v>625</v>
      </c>
      <c r="F23" s="25" t="s">
        <v>626</v>
      </c>
      <c r="G23" s="24" t="s">
        <v>573</v>
      </c>
      <c r="H23" s="25" t="s">
        <v>564</v>
      </c>
      <c r="I23" s="25" t="s">
        <v>554</v>
      </c>
      <c r="J23" s="25" t="s">
        <v>578</v>
      </c>
      <c r="K23" s="25" t="s">
        <v>579</v>
      </c>
      <c r="L23" s="25" t="s">
        <v>557</v>
      </c>
      <c r="M23" s="25"/>
      <c r="N23" s="25" t="s">
        <v>580</v>
      </c>
      <c r="O23" s="25"/>
      <c r="P23" s="25"/>
      <c r="Q23" s="25"/>
      <c r="R23" s="25" t="s">
        <v>558</v>
      </c>
      <c r="S23" s="25" t="s">
        <v>559</v>
      </c>
      <c r="T23" s="25" t="s">
        <v>627</v>
      </c>
      <c r="U23" s="25"/>
    </row>
    <row r="24" spans="1:21" ht="45" customHeight="1" x14ac:dyDescent="0.25">
      <c r="A24" s="20">
        <v>23</v>
      </c>
      <c r="B24" s="20" t="s">
        <v>37</v>
      </c>
      <c r="C24" s="20" t="s">
        <v>37</v>
      </c>
      <c r="D24" s="21" t="s">
        <v>0</v>
      </c>
      <c r="E24" s="22" t="s">
        <v>562</v>
      </c>
      <c r="F24" s="22" t="s">
        <v>628</v>
      </c>
      <c r="G24" s="23" t="s">
        <v>552</v>
      </c>
      <c r="H24" s="22" t="s">
        <v>553</v>
      </c>
      <c r="I24" s="22" t="s">
        <v>554</v>
      </c>
      <c r="J24" s="22" t="s">
        <v>555</v>
      </c>
      <c r="K24" s="22" t="s">
        <v>579</v>
      </c>
      <c r="L24" s="22" t="s">
        <v>557</v>
      </c>
      <c r="M24" s="22"/>
      <c r="N24" s="22" t="s">
        <v>619</v>
      </c>
      <c r="O24" s="22" t="s">
        <v>568</v>
      </c>
      <c r="P24" s="22"/>
      <c r="Q24" s="22"/>
      <c r="R24" s="22" t="s">
        <v>570</v>
      </c>
      <c r="S24" s="22" t="s">
        <v>559</v>
      </c>
      <c r="T24" s="22" t="s">
        <v>629</v>
      </c>
      <c r="U24" s="22" t="s">
        <v>561</v>
      </c>
    </row>
    <row r="25" spans="1:21" ht="45" customHeight="1" x14ac:dyDescent="0.25">
      <c r="A25" s="24">
        <v>24</v>
      </c>
      <c r="B25" s="24" t="s">
        <v>38</v>
      </c>
      <c r="C25" s="24" t="s">
        <v>38</v>
      </c>
      <c r="D25" s="21" t="s">
        <v>0</v>
      </c>
      <c r="E25" s="25" t="s">
        <v>550</v>
      </c>
      <c r="F25" s="25" t="s">
        <v>630</v>
      </c>
      <c r="G25" s="24" t="s">
        <v>573</v>
      </c>
      <c r="H25" s="25" t="s">
        <v>553</v>
      </c>
      <c r="I25" s="25" t="s">
        <v>554</v>
      </c>
      <c r="J25" s="25" t="s">
        <v>555</v>
      </c>
      <c r="K25" s="25" t="s">
        <v>556</v>
      </c>
      <c r="L25" s="25" t="s">
        <v>557</v>
      </c>
      <c r="M25" s="25"/>
      <c r="N25" s="25"/>
      <c r="O25" s="25" t="s">
        <v>568</v>
      </c>
      <c r="P25" s="25"/>
      <c r="Q25" s="25"/>
      <c r="R25" s="25" t="s">
        <v>558</v>
      </c>
      <c r="S25" s="25" t="s">
        <v>559</v>
      </c>
      <c r="T25" s="25" t="s">
        <v>631</v>
      </c>
      <c r="U25" s="25"/>
    </row>
    <row r="26" spans="1:21" ht="45" customHeight="1" x14ac:dyDescent="0.25">
      <c r="A26" s="20">
        <v>25</v>
      </c>
      <c r="B26" s="20" t="s">
        <v>39</v>
      </c>
      <c r="C26" s="20" t="s">
        <v>39</v>
      </c>
      <c r="D26" s="21" t="s">
        <v>0</v>
      </c>
      <c r="E26" s="22" t="s">
        <v>632</v>
      </c>
      <c r="F26" s="22" t="s">
        <v>633</v>
      </c>
      <c r="G26" s="20" t="s">
        <v>573</v>
      </c>
      <c r="H26" s="22" t="s">
        <v>564</v>
      </c>
      <c r="I26" s="22" t="s">
        <v>554</v>
      </c>
      <c r="J26" s="22" t="s">
        <v>565</v>
      </c>
      <c r="K26" s="22" t="s">
        <v>566</v>
      </c>
      <c r="L26" s="22" t="s">
        <v>567</v>
      </c>
      <c r="M26" s="22"/>
      <c r="N26" s="22" t="s">
        <v>634</v>
      </c>
      <c r="O26" s="22"/>
      <c r="P26" s="22" t="s">
        <v>569</v>
      </c>
      <c r="Q26" s="22" t="s">
        <v>635</v>
      </c>
      <c r="R26" s="22" t="s">
        <v>570</v>
      </c>
      <c r="S26" s="22" t="s">
        <v>559</v>
      </c>
      <c r="T26" s="22" t="s">
        <v>636</v>
      </c>
      <c r="U26" s="22"/>
    </row>
    <row r="27" spans="1:21" ht="45" customHeight="1" x14ac:dyDescent="0.25">
      <c r="A27" s="24">
        <v>26</v>
      </c>
      <c r="B27" s="24" t="s">
        <v>40</v>
      </c>
      <c r="C27" s="24" t="s">
        <v>40</v>
      </c>
      <c r="D27" s="21" t="s">
        <v>0</v>
      </c>
      <c r="E27" s="25" t="s">
        <v>632</v>
      </c>
      <c r="F27" s="25" t="s">
        <v>637</v>
      </c>
      <c r="G27" s="24" t="s">
        <v>573</v>
      </c>
      <c r="H27" s="25" t="s">
        <v>610</v>
      </c>
      <c r="I27" s="25" t="s">
        <v>554</v>
      </c>
      <c r="J27" s="25" t="s">
        <v>578</v>
      </c>
      <c r="K27" s="25" t="s">
        <v>638</v>
      </c>
      <c r="L27" s="25" t="s">
        <v>567</v>
      </c>
      <c r="M27" s="25"/>
      <c r="N27" s="25" t="s">
        <v>634</v>
      </c>
      <c r="O27" s="25"/>
      <c r="P27" s="25" t="s">
        <v>569</v>
      </c>
      <c r="Q27" s="25"/>
      <c r="R27" s="25" t="s">
        <v>570</v>
      </c>
      <c r="S27" s="25" t="s">
        <v>559</v>
      </c>
      <c r="T27" s="25" t="s">
        <v>639</v>
      </c>
      <c r="U27" s="25"/>
    </row>
    <row r="28" spans="1:21" ht="45" customHeight="1" x14ac:dyDescent="0.25">
      <c r="A28" s="20">
        <v>27</v>
      </c>
      <c r="B28" s="20" t="s">
        <v>41</v>
      </c>
      <c r="C28" s="20" t="s">
        <v>41</v>
      </c>
      <c r="D28" s="21" t="s">
        <v>0</v>
      </c>
      <c r="E28" s="22" t="s">
        <v>562</v>
      </c>
      <c r="F28" s="22" t="s">
        <v>640</v>
      </c>
      <c r="G28" s="23" t="s">
        <v>552</v>
      </c>
      <c r="H28" s="22" t="s">
        <v>553</v>
      </c>
      <c r="I28" s="22" t="s">
        <v>554</v>
      </c>
      <c r="J28" s="22" t="s">
        <v>555</v>
      </c>
      <c r="K28" s="22" t="s">
        <v>579</v>
      </c>
      <c r="L28" s="22" t="s">
        <v>557</v>
      </c>
      <c r="M28" s="22"/>
      <c r="N28" s="22" t="s">
        <v>619</v>
      </c>
      <c r="O28" s="22" t="s">
        <v>568</v>
      </c>
      <c r="P28" s="22"/>
      <c r="Q28" s="22"/>
      <c r="R28" s="22" t="s">
        <v>570</v>
      </c>
      <c r="S28" s="22" t="s">
        <v>559</v>
      </c>
      <c r="T28" s="22" t="s">
        <v>641</v>
      </c>
      <c r="U28" s="22" t="s">
        <v>561</v>
      </c>
    </row>
    <row r="29" spans="1:21" ht="45" customHeight="1" x14ac:dyDescent="0.25">
      <c r="A29" s="24">
        <v>28</v>
      </c>
      <c r="B29" s="24" t="s">
        <v>42</v>
      </c>
      <c r="C29" s="24" t="s">
        <v>42</v>
      </c>
      <c r="D29" s="27" t="s">
        <v>1</v>
      </c>
      <c r="E29" s="25" t="s">
        <v>625</v>
      </c>
      <c r="F29" s="25" t="s">
        <v>642</v>
      </c>
      <c r="G29" s="26" t="s">
        <v>552</v>
      </c>
      <c r="H29" s="25" t="s">
        <v>564</v>
      </c>
      <c r="I29" s="25" t="s">
        <v>554</v>
      </c>
      <c r="J29" s="25" t="s">
        <v>578</v>
      </c>
      <c r="K29" s="25" t="s">
        <v>579</v>
      </c>
      <c r="L29" s="25" t="s">
        <v>557</v>
      </c>
      <c r="M29" s="25"/>
      <c r="N29" s="25" t="s">
        <v>580</v>
      </c>
      <c r="O29" s="25"/>
      <c r="P29" s="25"/>
      <c r="Q29" s="25"/>
      <c r="R29" s="25" t="s">
        <v>558</v>
      </c>
      <c r="S29" s="25" t="s">
        <v>559</v>
      </c>
      <c r="T29" s="25" t="s">
        <v>643</v>
      </c>
      <c r="U29" s="25" t="s">
        <v>561</v>
      </c>
    </row>
    <row r="30" spans="1:21" ht="45" customHeight="1" x14ac:dyDescent="0.25">
      <c r="A30" s="28">
        <v>29</v>
      </c>
      <c r="B30" s="28" t="s">
        <v>43</v>
      </c>
      <c r="C30" s="28" t="s">
        <v>43</v>
      </c>
      <c r="D30" s="27" t="s">
        <v>1</v>
      </c>
      <c r="E30" s="29" t="s">
        <v>625</v>
      </c>
      <c r="F30" s="29" t="s">
        <v>644</v>
      </c>
      <c r="G30" s="30" t="s">
        <v>552</v>
      </c>
      <c r="H30" s="29" t="s">
        <v>564</v>
      </c>
      <c r="I30" s="29" t="s">
        <v>554</v>
      </c>
      <c r="J30" s="29" t="s">
        <v>578</v>
      </c>
      <c r="K30" s="29" t="s">
        <v>579</v>
      </c>
      <c r="L30" s="29" t="s">
        <v>557</v>
      </c>
      <c r="M30" s="29"/>
      <c r="N30" s="29" t="s">
        <v>580</v>
      </c>
      <c r="O30" s="29"/>
      <c r="P30" s="29"/>
      <c r="Q30" s="29"/>
      <c r="R30" s="29" t="s">
        <v>558</v>
      </c>
      <c r="S30" s="29" t="s">
        <v>559</v>
      </c>
      <c r="T30" s="29" t="s">
        <v>645</v>
      </c>
      <c r="U30" s="29" t="s">
        <v>561</v>
      </c>
    </row>
    <row r="31" spans="1:21" ht="45" customHeight="1" x14ac:dyDescent="0.25">
      <c r="A31" s="24">
        <v>30</v>
      </c>
      <c r="B31" s="24" t="s">
        <v>44</v>
      </c>
      <c r="C31" s="24" t="s">
        <v>44</v>
      </c>
      <c r="D31" s="27" t="s">
        <v>1</v>
      </c>
      <c r="E31" s="25" t="s">
        <v>550</v>
      </c>
      <c r="F31" s="25" t="s">
        <v>646</v>
      </c>
      <c r="G31" s="26" t="s">
        <v>552</v>
      </c>
      <c r="H31" s="25" t="s">
        <v>553</v>
      </c>
      <c r="I31" s="25" t="s">
        <v>554</v>
      </c>
      <c r="J31" s="25" t="s">
        <v>555</v>
      </c>
      <c r="K31" s="25" t="s">
        <v>556</v>
      </c>
      <c r="L31" s="25" t="s">
        <v>557</v>
      </c>
      <c r="M31" s="25"/>
      <c r="N31" s="25"/>
      <c r="O31" s="25"/>
      <c r="P31" s="25"/>
      <c r="Q31" s="25"/>
      <c r="R31" s="25" t="s">
        <v>558</v>
      </c>
      <c r="S31" s="25" t="s">
        <v>559</v>
      </c>
      <c r="T31" s="25" t="s">
        <v>647</v>
      </c>
      <c r="U31" s="25" t="s">
        <v>561</v>
      </c>
    </row>
    <row r="32" spans="1:21" ht="45" customHeight="1" x14ac:dyDescent="0.25">
      <c r="A32" s="28">
        <v>31</v>
      </c>
      <c r="B32" s="28" t="s">
        <v>45</v>
      </c>
      <c r="C32" s="28" t="s">
        <v>45</v>
      </c>
      <c r="D32" s="27" t="s">
        <v>1</v>
      </c>
      <c r="E32" s="29" t="s">
        <v>550</v>
      </c>
      <c r="F32" s="29" t="s">
        <v>648</v>
      </c>
      <c r="G32" s="28" t="s">
        <v>573</v>
      </c>
      <c r="H32" s="29" t="s">
        <v>553</v>
      </c>
      <c r="I32" s="29" t="s">
        <v>554</v>
      </c>
      <c r="J32" s="29" t="s">
        <v>555</v>
      </c>
      <c r="K32" s="29" t="s">
        <v>556</v>
      </c>
      <c r="L32" s="29" t="s">
        <v>557</v>
      </c>
      <c r="M32" s="29"/>
      <c r="N32" s="29"/>
      <c r="O32" s="29"/>
      <c r="P32" s="29"/>
      <c r="Q32" s="29"/>
      <c r="R32" s="29" t="s">
        <v>558</v>
      </c>
      <c r="S32" s="29" t="s">
        <v>559</v>
      </c>
      <c r="T32" s="29" t="s">
        <v>649</v>
      </c>
      <c r="U32" s="29"/>
    </row>
    <row r="33" spans="1:21" ht="45" customHeight="1" x14ac:dyDescent="0.25">
      <c r="A33" s="24">
        <v>32</v>
      </c>
      <c r="B33" s="24" t="s">
        <v>46</v>
      </c>
      <c r="C33" s="24" t="s">
        <v>46</v>
      </c>
      <c r="D33" s="27" t="s">
        <v>1</v>
      </c>
      <c r="E33" s="25" t="s">
        <v>625</v>
      </c>
      <c r="F33" s="25" t="s">
        <v>650</v>
      </c>
      <c r="G33" s="26" t="s">
        <v>552</v>
      </c>
      <c r="H33" s="25" t="s">
        <v>564</v>
      </c>
      <c r="I33" s="25" t="s">
        <v>554</v>
      </c>
      <c r="J33" s="25" t="s">
        <v>578</v>
      </c>
      <c r="K33" s="25" t="s">
        <v>579</v>
      </c>
      <c r="L33" s="25" t="s">
        <v>557</v>
      </c>
      <c r="M33" s="25"/>
      <c r="N33" s="25" t="s">
        <v>580</v>
      </c>
      <c r="O33" s="25"/>
      <c r="P33" s="25"/>
      <c r="Q33" s="25"/>
      <c r="R33" s="25" t="s">
        <v>558</v>
      </c>
      <c r="S33" s="25" t="s">
        <v>559</v>
      </c>
      <c r="T33" s="25" t="s">
        <v>651</v>
      </c>
      <c r="U33" s="25" t="s">
        <v>561</v>
      </c>
    </row>
    <row r="34" spans="1:21" ht="45" customHeight="1" x14ac:dyDescent="0.25">
      <c r="A34" s="28">
        <v>33</v>
      </c>
      <c r="B34" s="28" t="s">
        <v>47</v>
      </c>
      <c r="C34" s="28" t="s">
        <v>47</v>
      </c>
      <c r="D34" s="27" t="s">
        <v>1</v>
      </c>
      <c r="E34" s="29" t="s">
        <v>550</v>
      </c>
      <c r="F34" s="29" t="s">
        <v>652</v>
      </c>
      <c r="G34" s="28" t="s">
        <v>573</v>
      </c>
      <c r="H34" s="29" t="s">
        <v>553</v>
      </c>
      <c r="I34" s="29" t="s">
        <v>554</v>
      </c>
      <c r="J34" s="29" t="s">
        <v>555</v>
      </c>
      <c r="K34" s="29" t="s">
        <v>556</v>
      </c>
      <c r="L34" s="29" t="s">
        <v>557</v>
      </c>
      <c r="M34" s="29"/>
      <c r="N34" s="29"/>
      <c r="O34" s="29"/>
      <c r="P34" s="29"/>
      <c r="Q34" s="29"/>
      <c r="R34" s="29" t="s">
        <v>558</v>
      </c>
      <c r="S34" s="29" t="s">
        <v>559</v>
      </c>
      <c r="T34" s="29" t="s">
        <v>653</v>
      </c>
      <c r="U34" s="29"/>
    </row>
    <row r="35" spans="1:21" ht="45" customHeight="1" x14ac:dyDescent="0.25">
      <c r="A35" s="24">
        <v>34</v>
      </c>
      <c r="B35" s="24" t="s">
        <v>48</v>
      </c>
      <c r="C35" s="24" t="s">
        <v>48</v>
      </c>
      <c r="D35" s="27" t="s">
        <v>1</v>
      </c>
      <c r="E35" s="25" t="s">
        <v>550</v>
      </c>
      <c r="F35" s="25" t="s">
        <v>654</v>
      </c>
      <c r="G35" s="24" t="s">
        <v>573</v>
      </c>
      <c r="H35" s="25" t="s">
        <v>553</v>
      </c>
      <c r="I35" s="25" t="s">
        <v>554</v>
      </c>
      <c r="J35" s="25" t="s">
        <v>555</v>
      </c>
      <c r="K35" s="25" t="s">
        <v>556</v>
      </c>
      <c r="L35" s="25" t="s">
        <v>557</v>
      </c>
      <c r="M35" s="25"/>
      <c r="N35" s="25"/>
      <c r="O35" s="25"/>
      <c r="P35" s="25"/>
      <c r="Q35" s="25"/>
      <c r="R35" s="25" t="s">
        <v>558</v>
      </c>
      <c r="S35" s="25" t="s">
        <v>559</v>
      </c>
      <c r="T35" s="25" t="s">
        <v>655</v>
      </c>
      <c r="U35" s="25"/>
    </row>
    <row r="36" spans="1:21" ht="45" customHeight="1" x14ac:dyDescent="0.25">
      <c r="A36" s="28">
        <v>35</v>
      </c>
      <c r="B36" s="28" t="s">
        <v>49</v>
      </c>
      <c r="C36" s="28" t="s">
        <v>49</v>
      </c>
      <c r="D36" s="27" t="s">
        <v>1</v>
      </c>
      <c r="E36" s="29" t="s">
        <v>656</v>
      </c>
      <c r="F36" s="29" t="s">
        <v>657</v>
      </c>
      <c r="G36" s="28" t="s">
        <v>573</v>
      </c>
      <c r="H36" s="29" t="s">
        <v>564</v>
      </c>
      <c r="I36" s="29" t="s">
        <v>554</v>
      </c>
      <c r="J36" s="29" t="s">
        <v>578</v>
      </c>
      <c r="K36" s="29" t="s">
        <v>556</v>
      </c>
      <c r="L36" s="29" t="s">
        <v>557</v>
      </c>
      <c r="M36" s="29"/>
      <c r="N36" s="29"/>
      <c r="O36" s="29"/>
      <c r="P36" s="29"/>
      <c r="Q36" s="29"/>
      <c r="R36" s="29" t="s">
        <v>558</v>
      </c>
      <c r="S36" s="29" t="s">
        <v>559</v>
      </c>
      <c r="T36" s="29" t="s">
        <v>658</v>
      </c>
      <c r="U36" s="29"/>
    </row>
    <row r="37" spans="1:21" ht="45" customHeight="1" x14ac:dyDescent="0.25">
      <c r="A37" s="24">
        <v>36</v>
      </c>
      <c r="B37" s="24" t="s">
        <v>50</v>
      </c>
      <c r="C37" s="24" t="s">
        <v>50</v>
      </c>
      <c r="D37" s="27" t="s">
        <v>1</v>
      </c>
      <c r="E37" s="25" t="s">
        <v>656</v>
      </c>
      <c r="F37" s="25" t="s">
        <v>659</v>
      </c>
      <c r="G37" s="24" t="s">
        <v>573</v>
      </c>
      <c r="H37" s="25" t="s">
        <v>564</v>
      </c>
      <c r="I37" s="25" t="s">
        <v>554</v>
      </c>
      <c r="J37" s="25" t="s">
        <v>578</v>
      </c>
      <c r="K37" s="25" t="s">
        <v>556</v>
      </c>
      <c r="L37" s="25" t="s">
        <v>557</v>
      </c>
      <c r="M37" s="25"/>
      <c r="N37" s="25"/>
      <c r="O37" s="25"/>
      <c r="P37" s="25"/>
      <c r="Q37" s="25"/>
      <c r="R37" s="25" t="s">
        <v>558</v>
      </c>
      <c r="S37" s="25" t="s">
        <v>559</v>
      </c>
      <c r="T37" s="25" t="s">
        <v>660</v>
      </c>
      <c r="U37" s="25"/>
    </row>
    <row r="38" spans="1:21" ht="45" customHeight="1" x14ac:dyDescent="0.25">
      <c r="A38" s="28">
        <v>37</v>
      </c>
      <c r="B38" s="28" t="s">
        <v>51</v>
      </c>
      <c r="C38" s="28" t="s">
        <v>51</v>
      </c>
      <c r="D38" s="27" t="s">
        <v>1</v>
      </c>
      <c r="E38" s="29" t="s">
        <v>661</v>
      </c>
      <c r="F38" s="29" t="s">
        <v>662</v>
      </c>
      <c r="G38" s="28" t="s">
        <v>573</v>
      </c>
      <c r="H38" s="29" t="s">
        <v>553</v>
      </c>
      <c r="I38" s="29" t="s">
        <v>554</v>
      </c>
      <c r="J38" s="29" t="s">
        <v>555</v>
      </c>
      <c r="K38" s="29" t="s">
        <v>556</v>
      </c>
      <c r="L38" s="29" t="s">
        <v>557</v>
      </c>
      <c r="M38" s="29"/>
      <c r="N38" s="29"/>
      <c r="O38" s="29"/>
      <c r="P38" s="29"/>
      <c r="Q38" s="29"/>
      <c r="R38" s="29" t="s">
        <v>558</v>
      </c>
      <c r="S38" s="29" t="s">
        <v>559</v>
      </c>
      <c r="T38" s="29" t="s">
        <v>663</v>
      </c>
      <c r="U38" s="29"/>
    </row>
    <row r="39" spans="1:21" ht="45" customHeight="1" x14ac:dyDescent="0.25">
      <c r="A39" s="24">
        <v>38</v>
      </c>
      <c r="B39" s="24" t="s">
        <v>52</v>
      </c>
      <c r="C39" s="24" t="s">
        <v>52</v>
      </c>
      <c r="D39" s="27" t="s">
        <v>1</v>
      </c>
      <c r="E39" s="25" t="s">
        <v>625</v>
      </c>
      <c r="F39" s="25" t="s">
        <v>664</v>
      </c>
      <c r="G39" s="26" t="s">
        <v>552</v>
      </c>
      <c r="H39" s="25" t="s">
        <v>564</v>
      </c>
      <c r="I39" s="25" t="s">
        <v>554</v>
      </c>
      <c r="J39" s="25" t="s">
        <v>578</v>
      </c>
      <c r="K39" s="25" t="s">
        <v>579</v>
      </c>
      <c r="L39" s="25" t="s">
        <v>557</v>
      </c>
      <c r="M39" s="25"/>
      <c r="N39" s="25" t="s">
        <v>580</v>
      </c>
      <c r="O39" s="25"/>
      <c r="P39" s="25"/>
      <c r="Q39" s="25"/>
      <c r="R39" s="25" t="s">
        <v>558</v>
      </c>
      <c r="S39" s="25" t="s">
        <v>559</v>
      </c>
      <c r="T39" s="25" t="s">
        <v>665</v>
      </c>
      <c r="U39" s="25" t="s">
        <v>561</v>
      </c>
    </row>
    <row r="40" spans="1:21" ht="45" customHeight="1" x14ac:dyDescent="0.25">
      <c r="A40" s="28">
        <v>39</v>
      </c>
      <c r="B40" s="28" t="s">
        <v>53</v>
      </c>
      <c r="C40" s="28" t="s">
        <v>53</v>
      </c>
      <c r="D40" s="27" t="s">
        <v>1</v>
      </c>
      <c r="E40" s="29" t="s">
        <v>625</v>
      </c>
      <c r="F40" s="29" t="s">
        <v>666</v>
      </c>
      <c r="G40" s="30" t="s">
        <v>552</v>
      </c>
      <c r="H40" s="29" t="s">
        <v>564</v>
      </c>
      <c r="I40" s="29" t="s">
        <v>554</v>
      </c>
      <c r="J40" s="29" t="s">
        <v>578</v>
      </c>
      <c r="K40" s="29" t="s">
        <v>579</v>
      </c>
      <c r="L40" s="29" t="s">
        <v>557</v>
      </c>
      <c r="M40" s="29"/>
      <c r="N40" s="29" t="s">
        <v>619</v>
      </c>
      <c r="O40" s="29"/>
      <c r="P40" s="29"/>
      <c r="Q40" s="29"/>
      <c r="R40" s="29" t="s">
        <v>558</v>
      </c>
      <c r="S40" s="29" t="s">
        <v>559</v>
      </c>
      <c r="T40" s="29" t="s">
        <v>667</v>
      </c>
      <c r="U40" s="29" t="s">
        <v>561</v>
      </c>
    </row>
    <row r="41" spans="1:21" ht="45" customHeight="1" x14ac:dyDescent="0.25">
      <c r="A41" s="24">
        <v>40</v>
      </c>
      <c r="B41" s="24" t="s">
        <v>54</v>
      </c>
      <c r="C41" s="24" t="s">
        <v>54</v>
      </c>
      <c r="D41" s="31" t="s">
        <v>2</v>
      </c>
      <c r="E41" s="25" t="s">
        <v>668</v>
      </c>
      <c r="F41" s="25" t="s">
        <v>669</v>
      </c>
      <c r="G41" s="24" t="s">
        <v>573</v>
      </c>
      <c r="H41" s="25" t="s">
        <v>553</v>
      </c>
      <c r="I41" s="25" t="s">
        <v>670</v>
      </c>
      <c r="J41" s="25" t="s">
        <v>555</v>
      </c>
      <c r="K41" s="25" t="s">
        <v>556</v>
      </c>
      <c r="L41" s="25" t="s">
        <v>557</v>
      </c>
      <c r="M41" s="25"/>
      <c r="N41" s="25"/>
      <c r="O41" s="25"/>
      <c r="P41" s="25"/>
      <c r="Q41" s="25"/>
      <c r="R41" s="25" t="s">
        <v>558</v>
      </c>
      <c r="S41" s="25" t="s">
        <v>559</v>
      </c>
      <c r="T41" s="25" t="s">
        <v>671</v>
      </c>
      <c r="U41" s="25"/>
    </row>
    <row r="42" spans="1:21" ht="45" customHeight="1" x14ac:dyDescent="0.25">
      <c r="A42" s="32">
        <v>41</v>
      </c>
      <c r="B42" s="32" t="s">
        <v>55</v>
      </c>
      <c r="C42" s="32" t="s">
        <v>55</v>
      </c>
      <c r="D42" s="31" t="s">
        <v>2</v>
      </c>
      <c r="E42" s="33" t="s">
        <v>625</v>
      </c>
      <c r="F42" s="33" t="s">
        <v>672</v>
      </c>
      <c r="G42" s="32" t="s">
        <v>573</v>
      </c>
      <c r="H42" s="33" t="s">
        <v>564</v>
      </c>
      <c r="I42" s="33" t="s">
        <v>670</v>
      </c>
      <c r="J42" s="33" t="s">
        <v>578</v>
      </c>
      <c r="K42" s="33" t="s">
        <v>579</v>
      </c>
      <c r="L42" s="33" t="s">
        <v>557</v>
      </c>
      <c r="M42" s="33"/>
      <c r="N42" s="33" t="s">
        <v>580</v>
      </c>
      <c r="O42" s="33"/>
      <c r="P42" s="33"/>
      <c r="Q42" s="33"/>
      <c r="R42" s="33" t="s">
        <v>558</v>
      </c>
      <c r="S42" s="33" t="s">
        <v>559</v>
      </c>
      <c r="T42" s="33" t="s">
        <v>673</v>
      </c>
      <c r="U42" s="33"/>
    </row>
    <row r="43" spans="1:21" ht="45" customHeight="1" x14ac:dyDescent="0.25">
      <c r="A43" s="24">
        <v>42</v>
      </c>
      <c r="B43" s="24" t="s">
        <v>56</v>
      </c>
      <c r="C43" s="24" t="s">
        <v>56</v>
      </c>
      <c r="D43" s="31" t="s">
        <v>2</v>
      </c>
      <c r="E43" s="25" t="s">
        <v>674</v>
      </c>
      <c r="F43" s="25" t="s">
        <v>675</v>
      </c>
      <c r="G43" s="26" t="s">
        <v>552</v>
      </c>
      <c r="H43" s="25" t="s">
        <v>610</v>
      </c>
      <c r="I43" s="25" t="s">
        <v>670</v>
      </c>
      <c r="J43" s="25" t="s">
        <v>578</v>
      </c>
      <c r="K43" s="25" t="s">
        <v>611</v>
      </c>
      <c r="L43" s="25" t="s">
        <v>567</v>
      </c>
      <c r="M43" s="25"/>
      <c r="N43" s="25"/>
      <c r="O43" s="25" t="s">
        <v>568</v>
      </c>
      <c r="P43" s="25" t="s">
        <v>569</v>
      </c>
      <c r="Q43" s="25"/>
      <c r="R43" s="25" t="s">
        <v>570</v>
      </c>
      <c r="S43" s="25" t="s">
        <v>559</v>
      </c>
      <c r="T43" s="25" t="s">
        <v>676</v>
      </c>
      <c r="U43" s="25" t="s">
        <v>561</v>
      </c>
    </row>
    <row r="44" spans="1:21" ht="45" customHeight="1" x14ac:dyDescent="0.25">
      <c r="A44" s="32">
        <v>43</v>
      </c>
      <c r="B44" s="32" t="s">
        <v>57</v>
      </c>
      <c r="C44" s="32" t="s">
        <v>57</v>
      </c>
      <c r="D44" s="31" t="s">
        <v>2</v>
      </c>
      <c r="E44" s="33" t="s">
        <v>550</v>
      </c>
      <c r="F44" s="33" t="s">
        <v>677</v>
      </c>
      <c r="G44" s="32" t="s">
        <v>573</v>
      </c>
      <c r="H44" s="33" t="s">
        <v>564</v>
      </c>
      <c r="I44" s="33" t="s">
        <v>670</v>
      </c>
      <c r="J44" s="33" t="s">
        <v>565</v>
      </c>
      <c r="K44" s="33" t="s">
        <v>566</v>
      </c>
      <c r="L44" s="33" t="s">
        <v>567</v>
      </c>
      <c r="M44" s="33"/>
      <c r="N44" s="33"/>
      <c r="O44" s="33"/>
      <c r="P44" s="33" t="s">
        <v>569</v>
      </c>
      <c r="Q44" s="33"/>
      <c r="R44" s="33" t="s">
        <v>558</v>
      </c>
      <c r="S44" s="33" t="s">
        <v>559</v>
      </c>
      <c r="T44" s="33" t="s">
        <v>678</v>
      </c>
      <c r="U44" s="33"/>
    </row>
    <row r="45" spans="1:21" ht="45" customHeight="1" x14ac:dyDescent="0.25">
      <c r="A45" s="24">
        <v>44</v>
      </c>
      <c r="B45" s="24" t="s">
        <v>58</v>
      </c>
      <c r="C45" s="24" t="s">
        <v>58</v>
      </c>
      <c r="D45" s="31" t="s">
        <v>2</v>
      </c>
      <c r="E45" s="25" t="s">
        <v>674</v>
      </c>
      <c r="F45" s="25" t="s">
        <v>679</v>
      </c>
      <c r="G45" s="26" t="s">
        <v>552</v>
      </c>
      <c r="H45" s="25" t="s">
        <v>610</v>
      </c>
      <c r="I45" s="25" t="s">
        <v>670</v>
      </c>
      <c r="J45" s="25" t="s">
        <v>578</v>
      </c>
      <c r="K45" s="25" t="s">
        <v>611</v>
      </c>
      <c r="L45" s="25" t="s">
        <v>567</v>
      </c>
      <c r="M45" s="25"/>
      <c r="N45" s="25"/>
      <c r="O45" s="25" t="s">
        <v>568</v>
      </c>
      <c r="P45" s="25" t="s">
        <v>569</v>
      </c>
      <c r="Q45" s="25"/>
      <c r="R45" s="25" t="s">
        <v>570</v>
      </c>
      <c r="S45" s="25" t="s">
        <v>559</v>
      </c>
      <c r="T45" s="25" t="s">
        <v>680</v>
      </c>
      <c r="U45" s="25" t="s">
        <v>561</v>
      </c>
    </row>
    <row r="46" spans="1:21" ht="45" customHeight="1" x14ac:dyDescent="0.25">
      <c r="A46" s="32">
        <v>45</v>
      </c>
      <c r="B46" s="32" t="s">
        <v>59</v>
      </c>
      <c r="C46" s="32" t="s">
        <v>59</v>
      </c>
      <c r="D46" s="31" t="s">
        <v>2</v>
      </c>
      <c r="E46" s="33" t="s">
        <v>550</v>
      </c>
      <c r="F46" s="33" t="s">
        <v>681</v>
      </c>
      <c r="G46" s="32" t="s">
        <v>573</v>
      </c>
      <c r="H46" s="33" t="s">
        <v>553</v>
      </c>
      <c r="I46" s="33" t="s">
        <v>670</v>
      </c>
      <c r="J46" s="33" t="s">
        <v>555</v>
      </c>
      <c r="K46" s="33" t="s">
        <v>556</v>
      </c>
      <c r="L46" s="33" t="s">
        <v>557</v>
      </c>
      <c r="M46" s="33"/>
      <c r="N46" s="33"/>
      <c r="O46" s="33"/>
      <c r="P46" s="33"/>
      <c r="Q46" s="33"/>
      <c r="R46" s="33" t="s">
        <v>558</v>
      </c>
      <c r="S46" s="33" t="s">
        <v>559</v>
      </c>
      <c r="T46" s="33" t="s">
        <v>682</v>
      </c>
      <c r="U46" s="33"/>
    </row>
    <row r="47" spans="1:21" ht="45" customHeight="1" x14ac:dyDescent="0.25">
      <c r="A47" s="24">
        <v>46</v>
      </c>
      <c r="B47" s="24" t="s">
        <v>60</v>
      </c>
      <c r="C47" s="24" t="s">
        <v>60</v>
      </c>
      <c r="D47" s="31" t="s">
        <v>2</v>
      </c>
      <c r="E47" s="25" t="s">
        <v>674</v>
      </c>
      <c r="F47" s="25" t="s">
        <v>683</v>
      </c>
      <c r="G47" s="24" t="s">
        <v>573</v>
      </c>
      <c r="H47" s="25" t="s">
        <v>553</v>
      </c>
      <c r="I47" s="25" t="s">
        <v>670</v>
      </c>
      <c r="J47" s="25" t="s">
        <v>555</v>
      </c>
      <c r="K47" s="25" t="s">
        <v>556</v>
      </c>
      <c r="L47" s="25" t="s">
        <v>557</v>
      </c>
      <c r="M47" s="25"/>
      <c r="N47" s="25"/>
      <c r="O47" s="25"/>
      <c r="P47" s="25"/>
      <c r="Q47" s="25"/>
      <c r="R47" s="25" t="s">
        <v>558</v>
      </c>
      <c r="S47" s="25" t="s">
        <v>559</v>
      </c>
      <c r="T47" s="25" t="s">
        <v>684</v>
      </c>
      <c r="U47" s="25"/>
    </row>
    <row r="48" spans="1:21" ht="45" customHeight="1" x14ac:dyDescent="0.25">
      <c r="A48" s="32">
        <v>47</v>
      </c>
      <c r="B48" s="32" t="s">
        <v>61</v>
      </c>
      <c r="C48" s="32" t="s">
        <v>61</v>
      </c>
      <c r="D48" s="31" t="s">
        <v>2</v>
      </c>
      <c r="E48" s="33" t="s">
        <v>674</v>
      </c>
      <c r="F48" s="33" t="s">
        <v>685</v>
      </c>
      <c r="G48" s="34" t="s">
        <v>552</v>
      </c>
      <c r="H48" s="33" t="s">
        <v>610</v>
      </c>
      <c r="I48" s="33" t="s">
        <v>670</v>
      </c>
      <c r="J48" s="33" t="s">
        <v>578</v>
      </c>
      <c r="K48" s="33" t="s">
        <v>611</v>
      </c>
      <c r="L48" s="33" t="s">
        <v>567</v>
      </c>
      <c r="M48" s="33"/>
      <c r="N48" s="33"/>
      <c r="O48" s="33" t="s">
        <v>568</v>
      </c>
      <c r="P48" s="33" t="s">
        <v>569</v>
      </c>
      <c r="Q48" s="33"/>
      <c r="R48" s="33" t="s">
        <v>570</v>
      </c>
      <c r="S48" s="33" t="s">
        <v>559</v>
      </c>
      <c r="T48" s="33" t="s">
        <v>686</v>
      </c>
      <c r="U48" s="33" t="s">
        <v>561</v>
      </c>
    </row>
    <row r="49" spans="1:21" ht="45" customHeight="1" x14ac:dyDescent="0.25">
      <c r="A49" s="24">
        <v>48</v>
      </c>
      <c r="B49" s="24" t="s">
        <v>62</v>
      </c>
      <c r="C49" s="24" t="s">
        <v>62</v>
      </c>
      <c r="D49" s="31" t="s">
        <v>2</v>
      </c>
      <c r="E49" s="25" t="s">
        <v>550</v>
      </c>
      <c r="F49" s="25" t="s">
        <v>687</v>
      </c>
      <c r="G49" s="24" t="s">
        <v>573</v>
      </c>
      <c r="H49" s="25" t="s">
        <v>553</v>
      </c>
      <c r="I49" s="25" t="s">
        <v>670</v>
      </c>
      <c r="J49" s="25" t="s">
        <v>555</v>
      </c>
      <c r="K49" s="25" t="s">
        <v>556</v>
      </c>
      <c r="L49" s="25" t="s">
        <v>557</v>
      </c>
      <c r="M49" s="25"/>
      <c r="N49" s="25"/>
      <c r="O49" s="25"/>
      <c r="P49" s="25"/>
      <c r="Q49" s="25"/>
      <c r="R49" s="25" t="s">
        <v>558</v>
      </c>
      <c r="S49" s="25" t="s">
        <v>559</v>
      </c>
      <c r="T49" s="25" t="s">
        <v>688</v>
      </c>
      <c r="U49" s="25"/>
    </row>
    <row r="50" spans="1:21" ht="45" customHeight="1" x14ac:dyDescent="0.25">
      <c r="A50" s="32">
        <v>49</v>
      </c>
      <c r="B50" s="32" t="s">
        <v>63</v>
      </c>
      <c r="C50" s="32" t="s">
        <v>63</v>
      </c>
      <c r="D50" s="31" t="s">
        <v>2</v>
      </c>
      <c r="E50" s="33" t="s">
        <v>689</v>
      </c>
      <c r="F50" s="33" t="s">
        <v>690</v>
      </c>
      <c r="G50" s="32" t="s">
        <v>573</v>
      </c>
      <c r="H50" s="33" t="s">
        <v>553</v>
      </c>
      <c r="I50" s="33" t="s">
        <v>670</v>
      </c>
      <c r="J50" s="33" t="s">
        <v>555</v>
      </c>
      <c r="K50" s="33" t="s">
        <v>556</v>
      </c>
      <c r="L50" s="33" t="s">
        <v>557</v>
      </c>
      <c r="M50" s="33"/>
      <c r="N50" s="33"/>
      <c r="O50" s="33"/>
      <c r="P50" s="33"/>
      <c r="Q50" s="33"/>
      <c r="R50" s="33" t="s">
        <v>558</v>
      </c>
      <c r="S50" s="33" t="s">
        <v>559</v>
      </c>
      <c r="T50" s="33" t="s">
        <v>691</v>
      </c>
      <c r="U50" s="33"/>
    </row>
    <row r="51" spans="1:21" ht="45" customHeight="1" x14ac:dyDescent="0.25">
      <c r="A51" s="24">
        <v>50</v>
      </c>
      <c r="B51" s="24" t="s">
        <v>64</v>
      </c>
      <c r="C51" s="24" t="s">
        <v>64</v>
      </c>
      <c r="D51" s="31" t="s">
        <v>2</v>
      </c>
      <c r="E51" s="25" t="s">
        <v>692</v>
      </c>
      <c r="F51" s="25" t="s">
        <v>693</v>
      </c>
      <c r="G51" s="26" t="s">
        <v>552</v>
      </c>
      <c r="H51" s="25" t="s">
        <v>553</v>
      </c>
      <c r="I51" s="25" t="s">
        <v>670</v>
      </c>
      <c r="J51" s="25" t="s">
        <v>555</v>
      </c>
      <c r="K51" s="25" t="s">
        <v>556</v>
      </c>
      <c r="L51" s="25" t="s">
        <v>557</v>
      </c>
      <c r="M51" s="25"/>
      <c r="N51" s="25"/>
      <c r="O51" s="25"/>
      <c r="P51" s="25"/>
      <c r="Q51" s="25"/>
      <c r="R51" s="25" t="s">
        <v>558</v>
      </c>
      <c r="S51" s="25" t="s">
        <v>559</v>
      </c>
      <c r="T51" s="25" t="s">
        <v>694</v>
      </c>
      <c r="U51" s="25" t="s">
        <v>561</v>
      </c>
    </row>
    <row r="52" spans="1:21" ht="45" customHeight="1" x14ac:dyDescent="0.25">
      <c r="A52" s="32">
        <v>51</v>
      </c>
      <c r="B52" s="32" t="s">
        <v>65</v>
      </c>
      <c r="C52" s="32" t="s">
        <v>65</v>
      </c>
      <c r="D52" s="31" t="s">
        <v>2</v>
      </c>
      <c r="E52" s="33" t="s">
        <v>550</v>
      </c>
      <c r="F52" s="33" t="s">
        <v>695</v>
      </c>
      <c r="G52" s="32" t="s">
        <v>573</v>
      </c>
      <c r="H52" s="33" t="s">
        <v>553</v>
      </c>
      <c r="I52" s="33" t="s">
        <v>670</v>
      </c>
      <c r="J52" s="33" t="s">
        <v>555</v>
      </c>
      <c r="K52" s="33" t="s">
        <v>556</v>
      </c>
      <c r="L52" s="33" t="s">
        <v>696</v>
      </c>
      <c r="M52" s="33"/>
      <c r="N52" s="33"/>
      <c r="O52" s="33"/>
      <c r="P52" s="33"/>
      <c r="Q52" s="33" t="s">
        <v>635</v>
      </c>
      <c r="R52" s="33" t="s">
        <v>558</v>
      </c>
      <c r="S52" s="33" t="s">
        <v>559</v>
      </c>
      <c r="T52" s="33" t="s">
        <v>697</v>
      </c>
      <c r="U52" s="33"/>
    </row>
    <row r="53" spans="1:21" ht="45" customHeight="1" x14ac:dyDescent="0.25">
      <c r="A53" s="24">
        <v>52</v>
      </c>
      <c r="B53" s="24" t="s">
        <v>66</v>
      </c>
      <c r="C53" s="24" t="s">
        <v>66</v>
      </c>
      <c r="D53" s="31" t="s">
        <v>2</v>
      </c>
      <c r="E53" s="25" t="s">
        <v>698</v>
      </c>
      <c r="F53" s="25" t="s">
        <v>699</v>
      </c>
      <c r="G53" s="24" t="s">
        <v>573</v>
      </c>
      <c r="H53" s="25" t="s">
        <v>700</v>
      </c>
      <c r="I53" s="25" t="s">
        <v>670</v>
      </c>
      <c r="J53" s="25" t="s">
        <v>578</v>
      </c>
      <c r="K53" s="25" t="s">
        <v>556</v>
      </c>
      <c r="L53" s="25" t="s">
        <v>567</v>
      </c>
      <c r="M53" s="25"/>
      <c r="N53" s="25" t="s">
        <v>701</v>
      </c>
      <c r="O53" s="25"/>
      <c r="P53" s="25" t="s">
        <v>569</v>
      </c>
      <c r="Q53" s="25"/>
      <c r="R53" s="25" t="s">
        <v>558</v>
      </c>
      <c r="S53" s="25" t="s">
        <v>559</v>
      </c>
      <c r="T53" s="25" t="s">
        <v>702</v>
      </c>
      <c r="U53" s="25"/>
    </row>
    <row r="54" spans="1:21" ht="45" customHeight="1" x14ac:dyDescent="0.25">
      <c r="A54" s="32">
        <v>53</v>
      </c>
      <c r="B54" s="32" t="s">
        <v>67</v>
      </c>
      <c r="C54" s="32" t="s">
        <v>67</v>
      </c>
      <c r="D54" s="31" t="s">
        <v>2</v>
      </c>
      <c r="E54" s="33" t="s">
        <v>698</v>
      </c>
      <c r="F54" s="33" t="s">
        <v>703</v>
      </c>
      <c r="G54" s="32" t="s">
        <v>573</v>
      </c>
      <c r="H54" s="33" t="s">
        <v>700</v>
      </c>
      <c r="I54" s="33" t="s">
        <v>670</v>
      </c>
      <c r="J54" s="33" t="s">
        <v>578</v>
      </c>
      <c r="K54" s="33" t="s">
        <v>556</v>
      </c>
      <c r="L54" s="33" t="s">
        <v>567</v>
      </c>
      <c r="M54" s="33"/>
      <c r="N54" s="33" t="s">
        <v>701</v>
      </c>
      <c r="O54" s="33"/>
      <c r="P54" s="33" t="s">
        <v>569</v>
      </c>
      <c r="Q54" s="33"/>
      <c r="R54" s="33" t="s">
        <v>558</v>
      </c>
      <c r="S54" s="33" t="s">
        <v>559</v>
      </c>
      <c r="T54" s="33" t="s">
        <v>704</v>
      </c>
      <c r="U54" s="33"/>
    </row>
    <row r="55" spans="1:21" ht="45" customHeight="1" x14ac:dyDescent="0.25">
      <c r="A55" s="24">
        <v>54</v>
      </c>
      <c r="B55" s="24" t="s">
        <v>68</v>
      </c>
      <c r="C55" s="24" t="s">
        <v>68</v>
      </c>
      <c r="D55" s="31" t="s">
        <v>2</v>
      </c>
      <c r="E55" s="25" t="s">
        <v>550</v>
      </c>
      <c r="F55" s="25" t="s">
        <v>705</v>
      </c>
      <c r="G55" s="24" t="s">
        <v>573</v>
      </c>
      <c r="H55" s="25" t="s">
        <v>564</v>
      </c>
      <c r="I55" s="25" t="s">
        <v>670</v>
      </c>
      <c r="J55" s="25" t="s">
        <v>578</v>
      </c>
      <c r="K55" s="25" t="s">
        <v>556</v>
      </c>
      <c r="L55" s="25" t="s">
        <v>557</v>
      </c>
      <c r="M55" s="25"/>
      <c r="N55" s="25"/>
      <c r="O55" s="25"/>
      <c r="P55" s="25"/>
      <c r="Q55" s="25"/>
      <c r="R55" s="25" t="s">
        <v>558</v>
      </c>
      <c r="S55" s="25" t="s">
        <v>559</v>
      </c>
      <c r="T55" s="25" t="s">
        <v>706</v>
      </c>
      <c r="U55" s="25"/>
    </row>
    <row r="56" spans="1:21" ht="45" customHeight="1" x14ac:dyDescent="0.25">
      <c r="A56" s="32">
        <v>55</v>
      </c>
      <c r="B56" s="32" t="s">
        <v>69</v>
      </c>
      <c r="C56" s="32" t="s">
        <v>69</v>
      </c>
      <c r="D56" s="31" t="s">
        <v>2</v>
      </c>
      <c r="E56" s="33" t="s">
        <v>550</v>
      </c>
      <c r="F56" s="33" t="s">
        <v>707</v>
      </c>
      <c r="G56" s="32" t="s">
        <v>573</v>
      </c>
      <c r="H56" s="33" t="s">
        <v>564</v>
      </c>
      <c r="I56" s="33" t="s">
        <v>670</v>
      </c>
      <c r="J56" s="33" t="s">
        <v>708</v>
      </c>
      <c r="K56" s="33" t="s">
        <v>556</v>
      </c>
      <c r="L56" s="33" t="s">
        <v>557</v>
      </c>
      <c r="M56" s="33"/>
      <c r="N56" s="33"/>
      <c r="O56" s="33" t="s">
        <v>568</v>
      </c>
      <c r="P56" s="33"/>
      <c r="Q56" s="33"/>
      <c r="R56" s="33" t="s">
        <v>570</v>
      </c>
      <c r="S56" s="33" t="s">
        <v>559</v>
      </c>
      <c r="T56" s="33" t="s">
        <v>709</v>
      </c>
      <c r="U56" s="33"/>
    </row>
    <row r="57" spans="1:21" ht="45" customHeight="1" x14ac:dyDescent="0.25">
      <c r="A57" s="24">
        <v>56</v>
      </c>
      <c r="B57" s="24" t="s">
        <v>70</v>
      </c>
      <c r="C57" s="24" t="s">
        <v>70</v>
      </c>
      <c r="D57" s="31" t="s">
        <v>2</v>
      </c>
      <c r="E57" s="25" t="s">
        <v>550</v>
      </c>
      <c r="F57" s="25" t="s">
        <v>710</v>
      </c>
      <c r="G57" s="24" t="s">
        <v>573</v>
      </c>
      <c r="H57" s="25" t="s">
        <v>700</v>
      </c>
      <c r="I57" s="25" t="s">
        <v>670</v>
      </c>
      <c r="J57" s="25" t="s">
        <v>708</v>
      </c>
      <c r="K57" s="25" t="s">
        <v>556</v>
      </c>
      <c r="L57" s="25" t="s">
        <v>557</v>
      </c>
      <c r="M57" s="25"/>
      <c r="N57" s="25"/>
      <c r="O57" s="25" t="s">
        <v>568</v>
      </c>
      <c r="P57" s="25"/>
      <c r="Q57" s="25"/>
      <c r="R57" s="25" t="s">
        <v>570</v>
      </c>
      <c r="S57" s="25" t="s">
        <v>559</v>
      </c>
      <c r="T57" s="25" t="s">
        <v>711</v>
      </c>
      <c r="U57" s="25"/>
    </row>
    <row r="58" spans="1:21" ht="45" customHeight="1" x14ac:dyDescent="0.25">
      <c r="A58" s="32">
        <v>57</v>
      </c>
      <c r="B58" s="32" t="s">
        <v>71</v>
      </c>
      <c r="C58" s="32" t="s">
        <v>71</v>
      </c>
      <c r="D58" s="31" t="s">
        <v>2</v>
      </c>
      <c r="E58" s="33" t="s">
        <v>550</v>
      </c>
      <c r="F58" s="33" t="s">
        <v>712</v>
      </c>
      <c r="G58" s="32" t="s">
        <v>573</v>
      </c>
      <c r="H58" s="33" t="s">
        <v>700</v>
      </c>
      <c r="I58" s="33" t="s">
        <v>670</v>
      </c>
      <c r="J58" s="33" t="s">
        <v>708</v>
      </c>
      <c r="K58" s="33" t="s">
        <v>556</v>
      </c>
      <c r="L58" s="33" t="s">
        <v>567</v>
      </c>
      <c r="M58" s="33"/>
      <c r="N58" s="33"/>
      <c r="O58" s="33"/>
      <c r="P58" s="33" t="s">
        <v>569</v>
      </c>
      <c r="Q58" s="33"/>
      <c r="R58" s="33" t="s">
        <v>558</v>
      </c>
      <c r="S58" s="33" t="s">
        <v>559</v>
      </c>
      <c r="T58" s="33" t="s">
        <v>713</v>
      </c>
      <c r="U58" s="33"/>
    </row>
    <row r="59" spans="1:21" ht="45" customHeight="1" x14ac:dyDescent="0.25">
      <c r="A59" s="24">
        <v>58</v>
      </c>
      <c r="B59" s="24" t="s">
        <v>72</v>
      </c>
      <c r="C59" s="24" t="s">
        <v>72</v>
      </c>
      <c r="D59" s="31" t="s">
        <v>2</v>
      </c>
      <c r="E59" s="25" t="s">
        <v>714</v>
      </c>
      <c r="F59" s="25" t="s">
        <v>715</v>
      </c>
      <c r="G59" s="24" t="s">
        <v>573</v>
      </c>
      <c r="H59" s="25" t="s">
        <v>553</v>
      </c>
      <c r="I59" s="25" t="s">
        <v>670</v>
      </c>
      <c r="J59" s="25" t="s">
        <v>555</v>
      </c>
      <c r="K59" s="25" t="s">
        <v>556</v>
      </c>
      <c r="L59" s="25" t="s">
        <v>557</v>
      </c>
      <c r="M59" s="25"/>
      <c r="N59" s="25"/>
      <c r="O59" s="25"/>
      <c r="P59" s="25"/>
      <c r="Q59" s="25"/>
      <c r="R59" s="25" t="s">
        <v>558</v>
      </c>
      <c r="S59" s="25" t="s">
        <v>559</v>
      </c>
      <c r="T59" s="25" t="s">
        <v>716</v>
      </c>
      <c r="U59" s="25"/>
    </row>
    <row r="60" spans="1:21" ht="45" customHeight="1" x14ac:dyDescent="0.25">
      <c r="A60" s="32">
        <v>59</v>
      </c>
      <c r="B60" s="32" t="s">
        <v>73</v>
      </c>
      <c r="C60" s="32" t="s">
        <v>73</v>
      </c>
      <c r="D60" s="31" t="s">
        <v>2</v>
      </c>
      <c r="E60" s="33" t="s">
        <v>550</v>
      </c>
      <c r="F60" s="33" t="s">
        <v>717</v>
      </c>
      <c r="G60" s="32" t="s">
        <v>573</v>
      </c>
      <c r="H60" s="33" t="s">
        <v>553</v>
      </c>
      <c r="I60" s="33" t="s">
        <v>670</v>
      </c>
      <c r="J60" s="33" t="s">
        <v>555</v>
      </c>
      <c r="K60" s="33" t="s">
        <v>556</v>
      </c>
      <c r="L60" s="33" t="s">
        <v>557</v>
      </c>
      <c r="M60" s="33"/>
      <c r="N60" s="33"/>
      <c r="O60" s="33"/>
      <c r="P60" s="33"/>
      <c r="Q60" s="33"/>
      <c r="R60" s="33" t="s">
        <v>558</v>
      </c>
      <c r="S60" s="33" t="s">
        <v>559</v>
      </c>
      <c r="T60" s="33" t="s">
        <v>718</v>
      </c>
      <c r="U60" s="33"/>
    </row>
    <row r="61" spans="1:21" ht="45" customHeight="1" x14ac:dyDescent="0.25">
      <c r="A61" s="24">
        <v>60</v>
      </c>
      <c r="B61" s="24" t="s">
        <v>74</v>
      </c>
      <c r="C61" s="24" t="s">
        <v>74</v>
      </c>
      <c r="D61" s="31" t="s">
        <v>2</v>
      </c>
      <c r="E61" s="25" t="s">
        <v>668</v>
      </c>
      <c r="F61" s="25" t="s">
        <v>719</v>
      </c>
      <c r="G61" s="24" t="s">
        <v>573</v>
      </c>
      <c r="H61" s="25" t="s">
        <v>700</v>
      </c>
      <c r="I61" s="25" t="s">
        <v>670</v>
      </c>
      <c r="J61" s="25" t="s">
        <v>708</v>
      </c>
      <c r="K61" s="25" t="s">
        <v>556</v>
      </c>
      <c r="L61" s="25" t="s">
        <v>557</v>
      </c>
      <c r="M61" s="25"/>
      <c r="N61" s="25"/>
      <c r="O61" s="25"/>
      <c r="P61" s="25"/>
      <c r="Q61" s="25"/>
      <c r="R61" s="25" t="s">
        <v>558</v>
      </c>
      <c r="S61" s="25" t="s">
        <v>559</v>
      </c>
      <c r="T61" s="25" t="s">
        <v>720</v>
      </c>
      <c r="U61" s="25"/>
    </row>
    <row r="62" spans="1:21" ht="45" customHeight="1" x14ac:dyDescent="0.25">
      <c r="A62" s="32">
        <v>61</v>
      </c>
      <c r="B62" s="32" t="s">
        <v>75</v>
      </c>
      <c r="C62" s="32" t="s">
        <v>75</v>
      </c>
      <c r="D62" s="31" t="s">
        <v>2</v>
      </c>
      <c r="E62" s="33" t="s">
        <v>668</v>
      </c>
      <c r="F62" s="33" t="s">
        <v>721</v>
      </c>
      <c r="G62" s="34" t="s">
        <v>552</v>
      </c>
      <c r="H62" s="33" t="s">
        <v>553</v>
      </c>
      <c r="I62" s="33" t="s">
        <v>670</v>
      </c>
      <c r="J62" s="33" t="s">
        <v>555</v>
      </c>
      <c r="K62" s="33" t="s">
        <v>556</v>
      </c>
      <c r="L62" s="33" t="s">
        <v>557</v>
      </c>
      <c r="M62" s="33"/>
      <c r="N62" s="33"/>
      <c r="O62" s="33"/>
      <c r="P62" s="33"/>
      <c r="Q62" s="33"/>
      <c r="R62" s="33" t="s">
        <v>558</v>
      </c>
      <c r="S62" s="33" t="s">
        <v>559</v>
      </c>
      <c r="T62" s="33" t="s">
        <v>722</v>
      </c>
      <c r="U62" s="33" t="s">
        <v>561</v>
      </c>
    </row>
    <row r="63" spans="1:21" ht="45" customHeight="1" x14ac:dyDescent="0.25">
      <c r="A63" s="24">
        <v>62</v>
      </c>
      <c r="B63" s="24" t="s">
        <v>76</v>
      </c>
      <c r="C63" s="24" t="s">
        <v>76</v>
      </c>
      <c r="D63" s="31" t="s">
        <v>2</v>
      </c>
      <c r="E63" s="25" t="s">
        <v>723</v>
      </c>
      <c r="F63" s="25" t="s">
        <v>724</v>
      </c>
      <c r="G63" s="24" t="s">
        <v>573</v>
      </c>
      <c r="H63" s="25" t="s">
        <v>553</v>
      </c>
      <c r="I63" s="25" t="s">
        <v>670</v>
      </c>
      <c r="J63" s="25" t="s">
        <v>555</v>
      </c>
      <c r="K63" s="25" t="s">
        <v>556</v>
      </c>
      <c r="L63" s="25" t="s">
        <v>557</v>
      </c>
      <c r="M63" s="25"/>
      <c r="N63" s="25"/>
      <c r="O63" s="25"/>
      <c r="P63" s="25"/>
      <c r="Q63" s="25"/>
      <c r="R63" s="25" t="s">
        <v>558</v>
      </c>
      <c r="S63" s="25" t="s">
        <v>559</v>
      </c>
      <c r="T63" s="25" t="s">
        <v>725</v>
      </c>
      <c r="U63" s="25"/>
    </row>
    <row r="64" spans="1:21" ht="45" customHeight="1" x14ac:dyDescent="0.25">
      <c r="A64" s="32">
        <v>63</v>
      </c>
      <c r="B64" s="32" t="s">
        <v>77</v>
      </c>
      <c r="C64" s="32" t="s">
        <v>77</v>
      </c>
      <c r="D64" s="31" t="s">
        <v>2</v>
      </c>
      <c r="E64" s="33" t="s">
        <v>689</v>
      </c>
      <c r="F64" s="33" t="s">
        <v>726</v>
      </c>
      <c r="G64" s="32" t="s">
        <v>573</v>
      </c>
      <c r="H64" s="33" t="s">
        <v>553</v>
      </c>
      <c r="I64" s="33" t="s">
        <v>670</v>
      </c>
      <c r="J64" s="33" t="s">
        <v>555</v>
      </c>
      <c r="K64" s="33" t="s">
        <v>556</v>
      </c>
      <c r="L64" s="33" t="s">
        <v>557</v>
      </c>
      <c r="M64" s="33"/>
      <c r="N64" s="33"/>
      <c r="O64" s="33"/>
      <c r="P64" s="33"/>
      <c r="Q64" s="33"/>
      <c r="R64" s="33" t="s">
        <v>558</v>
      </c>
      <c r="S64" s="33" t="s">
        <v>559</v>
      </c>
      <c r="T64" s="33" t="s">
        <v>727</v>
      </c>
      <c r="U64" s="33"/>
    </row>
    <row r="65" spans="1:21" ht="45" customHeight="1" x14ac:dyDescent="0.25">
      <c r="A65" s="24">
        <v>64</v>
      </c>
      <c r="B65" s="24" t="s">
        <v>78</v>
      </c>
      <c r="C65" s="24" t="s">
        <v>78</v>
      </c>
      <c r="D65" s="31" t="s">
        <v>2</v>
      </c>
      <c r="E65" s="25" t="s">
        <v>668</v>
      </c>
      <c r="F65" s="25" t="s">
        <v>728</v>
      </c>
      <c r="G65" s="24" t="s">
        <v>573</v>
      </c>
      <c r="H65" s="25" t="s">
        <v>553</v>
      </c>
      <c r="I65" s="25" t="s">
        <v>670</v>
      </c>
      <c r="J65" s="25" t="s">
        <v>555</v>
      </c>
      <c r="K65" s="25" t="s">
        <v>556</v>
      </c>
      <c r="L65" s="25" t="s">
        <v>557</v>
      </c>
      <c r="M65" s="25"/>
      <c r="N65" s="25"/>
      <c r="O65" s="25"/>
      <c r="P65" s="25"/>
      <c r="Q65" s="25"/>
      <c r="R65" s="25" t="s">
        <v>558</v>
      </c>
      <c r="S65" s="25" t="s">
        <v>559</v>
      </c>
      <c r="T65" s="25" t="s">
        <v>729</v>
      </c>
      <c r="U65" s="25"/>
    </row>
    <row r="66" spans="1:21" ht="45" customHeight="1" x14ac:dyDescent="0.25">
      <c r="A66" s="32">
        <v>65</v>
      </c>
      <c r="B66" s="32" t="s">
        <v>79</v>
      </c>
      <c r="C66" s="32" t="s">
        <v>79</v>
      </c>
      <c r="D66" s="31" t="s">
        <v>2</v>
      </c>
      <c r="E66" s="33" t="s">
        <v>698</v>
      </c>
      <c r="F66" s="33" t="s">
        <v>730</v>
      </c>
      <c r="G66" s="32" t="s">
        <v>573</v>
      </c>
      <c r="H66" s="33" t="s">
        <v>553</v>
      </c>
      <c r="I66" s="33" t="s">
        <v>670</v>
      </c>
      <c r="J66" s="33" t="s">
        <v>555</v>
      </c>
      <c r="K66" s="33" t="s">
        <v>556</v>
      </c>
      <c r="L66" s="33" t="s">
        <v>567</v>
      </c>
      <c r="M66" s="33"/>
      <c r="N66" s="33" t="s">
        <v>701</v>
      </c>
      <c r="O66" s="33"/>
      <c r="P66" s="33" t="s">
        <v>569</v>
      </c>
      <c r="Q66" s="33"/>
      <c r="R66" s="33" t="s">
        <v>558</v>
      </c>
      <c r="S66" s="33" t="s">
        <v>559</v>
      </c>
      <c r="T66" s="33" t="s">
        <v>731</v>
      </c>
      <c r="U66" s="33"/>
    </row>
    <row r="67" spans="1:21" ht="45" customHeight="1" x14ac:dyDescent="0.25">
      <c r="A67" s="24">
        <v>66</v>
      </c>
      <c r="B67" s="24" t="s">
        <v>80</v>
      </c>
      <c r="C67" s="24" t="s">
        <v>80</v>
      </c>
      <c r="D67" s="31" t="s">
        <v>2</v>
      </c>
      <c r="E67" s="25" t="s">
        <v>550</v>
      </c>
      <c r="F67" s="25" t="s">
        <v>732</v>
      </c>
      <c r="G67" s="24" t="s">
        <v>573</v>
      </c>
      <c r="H67" s="25" t="s">
        <v>564</v>
      </c>
      <c r="I67" s="25" t="s">
        <v>670</v>
      </c>
      <c r="J67" s="25" t="s">
        <v>565</v>
      </c>
      <c r="K67" s="25" t="s">
        <v>566</v>
      </c>
      <c r="L67" s="25" t="s">
        <v>567</v>
      </c>
      <c r="M67" s="25"/>
      <c r="N67" s="25"/>
      <c r="O67" s="25"/>
      <c r="P67" s="25" t="s">
        <v>569</v>
      </c>
      <c r="Q67" s="25"/>
      <c r="R67" s="25" t="s">
        <v>558</v>
      </c>
      <c r="S67" s="25" t="s">
        <v>559</v>
      </c>
      <c r="T67" s="25" t="s">
        <v>733</v>
      </c>
      <c r="U67" s="25"/>
    </row>
    <row r="68" spans="1:21" ht="45" customHeight="1" x14ac:dyDescent="0.25">
      <c r="A68" s="32">
        <v>67</v>
      </c>
      <c r="B68" s="32" t="s">
        <v>81</v>
      </c>
      <c r="C68" s="32" t="s">
        <v>81</v>
      </c>
      <c r="D68" s="31" t="s">
        <v>2</v>
      </c>
      <c r="E68" s="33" t="s">
        <v>550</v>
      </c>
      <c r="F68" s="33" t="s">
        <v>734</v>
      </c>
      <c r="G68" s="34" t="s">
        <v>552</v>
      </c>
      <c r="H68" s="33" t="s">
        <v>553</v>
      </c>
      <c r="I68" s="33" t="s">
        <v>670</v>
      </c>
      <c r="J68" s="33" t="s">
        <v>555</v>
      </c>
      <c r="K68" s="33" t="s">
        <v>556</v>
      </c>
      <c r="L68" s="33" t="s">
        <v>557</v>
      </c>
      <c r="M68" s="33"/>
      <c r="N68" s="33"/>
      <c r="O68" s="33"/>
      <c r="P68" s="33"/>
      <c r="Q68" s="33"/>
      <c r="R68" s="33" t="s">
        <v>558</v>
      </c>
      <c r="S68" s="33" t="s">
        <v>559</v>
      </c>
      <c r="T68" s="33" t="s">
        <v>735</v>
      </c>
      <c r="U68" s="33" t="s">
        <v>561</v>
      </c>
    </row>
    <row r="69" spans="1:21" ht="45" customHeight="1" x14ac:dyDescent="0.25">
      <c r="A69" s="24">
        <v>68</v>
      </c>
      <c r="B69" s="24" t="s">
        <v>82</v>
      </c>
      <c r="C69" s="24" t="s">
        <v>82</v>
      </c>
      <c r="D69" s="31" t="s">
        <v>2</v>
      </c>
      <c r="E69" s="25" t="s">
        <v>550</v>
      </c>
      <c r="F69" s="25" t="s">
        <v>736</v>
      </c>
      <c r="G69" s="26" t="s">
        <v>552</v>
      </c>
      <c r="H69" s="25" t="s">
        <v>553</v>
      </c>
      <c r="I69" s="25" t="s">
        <v>670</v>
      </c>
      <c r="J69" s="25" t="s">
        <v>555</v>
      </c>
      <c r="K69" s="25" t="s">
        <v>556</v>
      </c>
      <c r="L69" s="25" t="s">
        <v>557</v>
      </c>
      <c r="M69" s="25"/>
      <c r="N69" s="25"/>
      <c r="O69" s="25"/>
      <c r="P69" s="25"/>
      <c r="Q69" s="25"/>
      <c r="R69" s="25" t="s">
        <v>558</v>
      </c>
      <c r="S69" s="25" t="s">
        <v>559</v>
      </c>
      <c r="T69" s="25" t="s">
        <v>737</v>
      </c>
      <c r="U69" s="25" t="s">
        <v>561</v>
      </c>
    </row>
    <row r="70" spans="1:21" ht="45" customHeight="1" x14ac:dyDescent="0.25">
      <c r="A70" s="32">
        <v>69</v>
      </c>
      <c r="B70" s="32" t="s">
        <v>83</v>
      </c>
      <c r="C70" s="32" t="s">
        <v>83</v>
      </c>
      <c r="D70" s="31" t="s">
        <v>2</v>
      </c>
      <c r="E70" s="33" t="s">
        <v>550</v>
      </c>
      <c r="F70" s="33" t="s">
        <v>738</v>
      </c>
      <c r="G70" s="34" t="s">
        <v>552</v>
      </c>
      <c r="H70" s="33" t="s">
        <v>553</v>
      </c>
      <c r="I70" s="33" t="s">
        <v>670</v>
      </c>
      <c r="J70" s="33" t="s">
        <v>555</v>
      </c>
      <c r="K70" s="33" t="s">
        <v>556</v>
      </c>
      <c r="L70" s="33" t="s">
        <v>557</v>
      </c>
      <c r="M70" s="33"/>
      <c r="N70" s="33"/>
      <c r="O70" s="33"/>
      <c r="P70" s="33"/>
      <c r="Q70" s="33"/>
      <c r="R70" s="33" t="s">
        <v>558</v>
      </c>
      <c r="S70" s="33" t="s">
        <v>559</v>
      </c>
      <c r="T70" s="33" t="s">
        <v>739</v>
      </c>
      <c r="U70" s="33" t="s">
        <v>561</v>
      </c>
    </row>
    <row r="71" spans="1:21" ht="45" customHeight="1" x14ac:dyDescent="0.25">
      <c r="A71" s="24">
        <v>70</v>
      </c>
      <c r="B71" s="24" t="s">
        <v>84</v>
      </c>
      <c r="C71" s="24" t="s">
        <v>84</v>
      </c>
      <c r="D71" s="31" t="s">
        <v>2</v>
      </c>
      <c r="E71" s="25" t="s">
        <v>550</v>
      </c>
      <c r="F71" s="25" t="s">
        <v>740</v>
      </c>
      <c r="G71" s="26" t="s">
        <v>552</v>
      </c>
      <c r="H71" s="25" t="s">
        <v>553</v>
      </c>
      <c r="I71" s="25" t="s">
        <v>670</v>
      </c>
      <c r="J71" s="25" t="s">
        <v>555</v>
      </c>
      <c r="K71" s="25" t="s">
        <v>556</v>
      </c>
      <c r="L71" s="25" t="s">
        <v>557</v>
      </c>
      <c r="M71" s="25"/>
      <c r="N71" s="25"/>
      <c r="O71" s="25"/>
      <c r="P71" s="25"/>
      <c r="Q71" s="25"/>
      <c r="R71" s="25" t="s">
        <v>558</v>
      </c>
      <c r="S71" s="25" t="s">
        <v>559</v>
      </c>
      <c r="T71" s="25" t="s">
        <v>741</v>
      </c>
      <c r="U71" s="25" t="s">
        <v>561</v>
      </c>
    </row>
    <row r="72" spans="1:21" ht="45" customHeight="1" x14ac:dyDescent="0.25">
      <c r="A72" s="32">
        <v>71</v>
      </c>
      <c r="B72" s="32" t="s">
        <v>85</v>
      </c>
      <c r="C72" s="32" t="s">
        <v>85</v>
      </c>
      <c r="D72" s="31" t="s">
        <v>2</v>
      </c>
      <c r="E72" s="33" t="s">
        <v>550</v>
      </c>
      <c r="F72" s="33" t="s">
        <v>742</v>
      </c>
      <c r="G72" s="34" t="s">
        <v>552</v>
      </c>
      <c r="H72" s="33" t="s">
        <v>553</v>
      </c>
      <c r="I72" s="33" t="s">
        <v>670</v>
      </c>
      <c r="J72" s="33" t="s">
        <v>555</v>
      </c>
      <c r="K72" s="33" t="s">
        <v>556</v>
      </c>
      <c r="L72" s="33" t="s">
        <v>557</v>
      </c>
      <c r="M72" s="33"/>
      <c r="N72" s="33"/>
      <c r="O72" s="33"/>
      <c r="P72" s="33"/>
      <c r="Q72" s="33"/>
      <c r="R72" s="33" t="s">
        <v>558</v>
      </c>
      <c r="S72" s="33" t="s">
        <v>559</v>
      </c>
      <c r="T72" s="33" t="s">
        <v>743</v>
      </c>
      <c r="U72" s="33" t="s">
        <v>561</v>
      </c>
    </row>
    <row r="73" spans="1:21" ht="45" customHeight="1" x14ac:dyDescent="0.25">
      <c r="A73" s="24">
        <v>72</v>
      </c>
      <c r="B73" s="24" t="s">
        <v>86</v>
      </c>
      <c r="C73" s="24" t="s">
        <v>86</v>
      </c>
      <c r="D73" s="31" t="s">
        <v>2</v>
      </c>
      <c r="E73" s="25" t="s">
        <v>550</v>
      </c>
      <c r="F73" s="25" t="s">
        <v>744</v>
      </c>
      <c r="G73" s="26" t="s">
        <v>552</v>
      </c>
      <c r="H73" s="25" t="s">
        <v>553</v>
      </c>
      <c r="I73" s="25" t="s">
        <v>670</v>
      </c>
      <c r="J73" s="25" t="s">
        <v>555</v>
      </c>
      <c r="K73" s="25" t="s">
        <v>556</v>
      </c>
      <c r="L73" s="25" t="s">
        <v>557</v>
      </c>
      <c r="M73" s="25"/>
      <c r="N73" s="25"/>
      <c r="O73" s="25"/>
      <c r="P73" s="25"/>
      <c r="Q73" s="25"/>
      <c r="R73" s="25" t="s">
        <v>558</v>
      </c>
      <c r="S73" s="25" t="s">
        <v>559</v>
      </c>
      <c r="T73" s="25" t="s">
        <v>745</v>
      </c>
      <c r="U73" s="25" t="s">
        <v>561</v>
      </c>
    </row>
    <row r="74" spans="1:21" ht="45" customHeight="1" x14ac:dyDescent="0.25">
      <c r="A74" s="35">
        <v>73</v>
      </c>
      <c r="B74" s="35" t="s">
        <v>87</v>
      </c>
      <c r="C74" s="35" t="s">
        <v>87</v>
      </c>
      <c r="D74" s="36" t="s">
        <v>3</v>
      </c>
      <c r="E74" s="37" t="s">
        <v>746</v>
      </c>
      <c r="F74" s="37" t="s">
        <v>747</v>
      </c>
      <c r="G74" s="38" t="s">
        <v>552</v>
      </c>
      <c r="H74" s="37" t="s">
        <v>553</v>
      </c>
      <c r="I74" s="37" t="s">
        <v>748</v>
      </c>
      <c r="J74" s="37" t="s">
        <v>555</v>
      </c>
      <c r="K74" s="37" t="s">
        <v>579</v>
      </c>
      <c r="L74" s="37" t="s">
        <v>557</v>
      </c>
      <c r="M74" s="37"/>
      <c r="N74" s="37" t="s">
        <v>580</v>
      </c>
      <c r="O74" s="37"/>
      <c r="P74" s="37"/>
      <c r="Q74" s="37"/>
      <c r="R74" s="37" t="s">
        <v>558</v>
      </c>
      <c r="S74" s="37" t="s">
        <v>559</v>
      </c>
      <c r="T74" s="37" t="s">
        <v>749</v>
      </c>
      <c r="U74" s="37" t="s">
        <v>561</v>
      </c>
    </row>
    <row r="75" spans="1:21" ht="45" customHeight="1" x14ac:dyDescent="0.25">
      <c r="A75" s="24">
        <v>74</v>
      </c>
      <c r="B75" s="24" t="s">
        <v>88</v>
      </c>
      <c r="C75" s="24" t="s">
        <v>88</v>
      </c>
      <c r="D75" s="36" t="s">
        <v>3</v>
      </c>
      <c r="E75" s="25" t="s">
        <v>550</v>
      </c>
      <c r="F75" s="25" t="s">
        <v>750</v>
      </c>
      <c r="G75" s="24" t="s">
        <v>573</v>
      </c>
      <c r="H75" s="25" t="s">
        <v>553</v>
      </c>
      <c r="I75" s="25" t="s">
        <v>748</v>
      </c>
      <c r="J75" s="25" t="s">
        <v>751</v>
      </c>
      <c r="K75" s="25" t="s">
        <v>556</v>
      </c>
      <c r="L75" s="25" t="s">
        <v>557</v>
      </c>
      <c r="M75" s="25"/>
      <c r="N75" s="25"/>
      <c r="O75" s="25"/>
      <c r="P75" s="25"/>
      <c r="Q75" s="25"/>
      <c r="R75" s="25" t="s">
        <v>558</v>
      </c>
      <c r="S75" s="25" t="s">
        <v>559</v>
      </c>
      <c r="T75" s="25" t="s">
        <v>752</v>
      </c>
      <c r="U75" s="25"/>
    </row>
    <row r="76" spans="1:21" ht="45" customHeight="1" x14ac:dyDescent="0.25">
      <c r="A76" s="35">
        <v>75</v>
      </c>
      <c r="B76" s="35" t="s">
        <v>89</v>
      </c>
      <c r="C76" s="35" t="s">
        <v>89</v>
      </c>
      <c r="D76" s="36" t="s">
        <v>3</v>
      </c>
      <c r="E76" s="37" t="s">
        <v>550</v>
      </c>
      <c r="F76" s="37" t="s">
        <v>753</v>
      </c>
      <c r="G76" s="35" t="s">
        <v>573</v>
      </c>
      <c r="H76" s="37" t="s">
        <v>553</v>
      </c>
      <c r="I76" s="37" t="s">
        <v>748</v>
      </c>
      <c r="J76" s="37" t="s">
        <v>555</v>
      </c>
      <c r="K76" s="37" t="s">
        <v>556</v>
      </c>
      <c r="L76" s="37" t="s">
        <v>557</v>
      </c>
      <c r="M76" s="37"/>
      <c r="N76" s="37"/>
      <c r="O76" s="37"/>
      <c r="P76" s="37"/>
      <c r="Q76" s="37"/>
      <c r="R76" s="37" t="s">
        <v>558</v>
      </c>
      <c r="S76" s="37" t="s">
        <v>559</v>
      </c>
      <c r="T76" s="37" t="s">
        <v>754</v>
      </c>
      <c r="U76" s="37"/>
    </row>
    <row r="77" spans="1:21" ht="45" customHeight="1" x14ac:dyDescent="0.25">
      <c r="A77" s="24">
        <v>76</v>
      </c>
      <c r="B77" s="24" t="s">
        <v>90</v>
      </c>
      <c r="C77" s="24" t="s">
        <v>90</v>
      </c>
      <c r="D77" s="36" t="s">
        <v>3</v>
      </c>
      <c r="E77" s="25" t="s">
        <v>755</v>
      </c>
      <c r="F77" s="25" t="s">
        <v>756</v>
      </c>
      <c r="G77" s="26" t="s">
        <v>552</v>
      </c>
      <c r="H77" s="25" t="s">
        <v>600</v>
      </c>
      <c r="I77" s="25" t="s">
        <v>748</v>
      </c>
      <c r="J77" s="25" t="s">
        <v>757</v>
      </c>
      <c r="K77" s="25" t="s">
        <v>556</v>
      </c>
      <c r="L77" s="25" t="s">
        <v>557</v>
      </c>
      <c r="M77" s="25"/>
      <c r="N77" s="25"/>
      <c r="O77" s="25"/>
      <c r="P77" s="25"/>
      <c r="Q77" s="25"/>
      <c r="R77" s="25" t="s">
        <v>570</v>
      </c>
      <c r="S77" s="25" t="s">
        <v>559</v>
      </c>
      <c r="T77" s="25" t="s">
        <v>758</v>
      </c>
      <c r="U77" s="25" t="s">
        <v>591</v>
      </c>
    </row>
    <row r="78" spans="1:21" ht="45" customHeight="1" x14ac:dyDescent="0.25">
      <c r="A78" s="35">
        <v>77</v>
      </c>
      <c r="B78" s="35" t="s">
        <v>91</v>
      </c>
      <c r="C78" s="35" t="s">
        <v>91</v>
      </c>
      <c r="D78" s="36" t="s">
        <v>3</v>
      </c>
      <c r="E78" s="37" t="s">
        <v>759</v>
      </c>
      <c r="F78" s="37" t="s">
        <v>760</v>
      </c>
      <c r="G78" s="38" t="s">
        <v>552</v>
      </c>
      <c r="H78" s="37" t="s">
        <v>600</v>
      </c>
      <c r="I78" s="37" t="s">
        <v>748</v>
      </c>
      <c r="J78" s="37" t="s">
        <v>761</v>
      </c>
      <c r="K78" s="37" t="s">
        <v>556</v>
      </c>
      <c r="L78" s="37" t="s">
        <v>557</v>
      </c>
      <c r="M78" s="37"/>
      <c r="N78" s="37"/>
      <c r="O78" s="37"/>
      <c r="P78" s="37"/>
      <c r="Q78" s="37"/>
      <c r="R78" s="37" t="s">
        <v>570</v>
      </c>
      <c r="S78" s="37" t="s">
        <v>559</v>
      </c>
      <c r="T78" s="37" t="s">
        <v>762</v>
      </c>
      <c r="U78" s="37" t="s">
        <v>591</v>
      </c>
    </row>
    <row r="79" spans="1:21" ht="45" customHeight="1" x14ac:dyDescent="0.25">
      <c r="A79" s="24">
        <v>78</v>
      </c>
      <c r="B79" s="24" t="s">
        <v>92</v>
      </c>
      <c r="C79" s="24" t="s">
        <v>92</v>
      </c>
      <c r="D79" s="36" t="s">
        <v>3</v>
      </c>
      <c r="E79" s="25" t="s">
        <v>550</v>
      </c>
      <c r="F79" s="25" t="s">
        <v>763</v>
      </c>
      <c r="G79" s="24" t="s">
        <v>573</v>
      </c>
      <c r="H79" s="25" t="s">
        <v>553</v>
      </c>
      <c r="I79" s="25" t="s">
        <v>748</v>
      </c>
      <c r="J79" s="25" t="s">
        <v>555</v>
      </c>
      <c r="K79" s="25" t="s">
        <v>556</v>
      </c>
      <c r="L79" s="25" t="s">
        <v>557</v>
      </c>
      <c r="M79" s="25"/>
      <c r="N79" s="25"/>
      <c r="O79" s="25"/>
      <c r="P79" s="25"/>
      <c r="Q79" s="25"/>
      <c r="R79" s="25" t="s">
        <v>558</v>
      </c>
      <c r="S79" s="25" t="s">
        <v>559</v>
      </c>
      <c r="T79" s="25" t="s">
        <v>764</v>
      </c>
      <c r="U79" s="25"/>
    </row>
    <row r="80" spans="1:21" ht="45" customHeight="1" x14ac:dyDescent="0.25">
      <c r="A80" s="35">
        <v>79</v>
      </c>
      <c r="B80" s="35" t="s">
        <v>93</v>
      </c>
      <c r="C80" s="35" t="s">
        <v>93</v>
      </c>
      <c r="D80" s="36" t="s">
        <v>3</v>
      </c>
      <c r="E80" s="37" t="s">
        <v>746</v>
      </c>
      <c r="F80" s="37" t="s">
        <v>765</v>
      </c>
      <c r="G80" s="35" t="s">
        <v>573</v>
      </c>
      <c r="H80" s="37" t="s">
        <v>564</v>
      </c>
      <c r="I80" s="37" t="s">
        <v>748</v>
      </c>
      <c r="J80" s="37" t="s">
        <v>565</v>
      </c>
      <c r="K80" s="37" t="s">
        <v>556</v>
      </c>
      <c r="L80" s="37" t="s">
        <v>557</v>
      </c>
      <c r="M80" s="37"/>
      <c r="N80" s="37"/>
      <c r="O80" s="37"/>
      <c r="P80" s="37"/>
      <c r="Q80" s="37"/>
      <c r="R80" s="37" t="s">
        <v>558</v>
      </c>
      <c r="S80" s="37" t="s">
        <v>559</v>
      </c>
      <c r="T80" s="37" t="s">
        <v>766</v>
      </c>
      <c r="U80" s="37"/>
    </row>
    <row r="81" spans="1:21" ht="45" customHeight="1" x14ac:dyDescent="0.25">
      <c r="A81" s="24">
        <v>80</v>
      </c>
      <c r="B81" s="24" t="s">
        <v>94</v>
      </c>
      <c r="C81" s="24" t="s">
        <v>94</v>
      </c>
      <c r="D81" s="36" t="s">
        <v>3</v>
      </c>
      <c r="E81" s="25" t="s">
        <v>550</v>
      </c>
      <c r="F81" s="25" t="s">
        <v>767</v>
      </c>
      <c r="G81" s="24" t="s">
        <v>573</v>
      </c>
      <c r="H81" s="25" t="s">
        <v>553</v>
      </c>
      <c r="I81" s="25" t="s">
        <v>748</v>
      </c>
      <c r="J81" s="25" t="s">
        <v>751</v>
      </c>
      <c r="K81" s="25" t="s">
        <v>556</v>
      </c>
      <c r="L81" s="25" t="s">
        <v>557</v>
      </c>
      <c r="M81" s="25"/>
      <c r="N81" s="25"/>
      <c r="O81" s="25"/>
      <c r="P81" s="25"/>
      <c r="Q81" s="25"/>
      <c r="R81" s="25" t="s">
        <v>558</v>
      </c>
      <c r="S81" s="25" t="s">
        <v>559</v>
      </c>
      <c r="T81" s="25" t="s">
        <v>768</v>
      </c>
      <c r="U81" s="25"/>
    </row>
    <row r="82" spans="1:21" ht="45" customHeight="1" x14ac:dyDescent="0.25">
      <c r="A82" s="35">
        <v>81</v>
      </c>
      <c r="B82" s="35" t="s">
        <v>95</v>
      </c>
      <c r="C82" s="35" t="s">
        <v>95</v>
      </c>
      <c r="D82" s="36" t="s">
        <v>3</v>
      </c>
      <c r="E82" s="37" t="s">
        <v>769</v>
      </c>
      <c r="F82" s="37" t="s">
        <v>770</v>
      </c>
      <c r="G82" s="35" t="s">
        <v>573</v>
      </c>
      <c r="H82" s="37" t="s">
        <v>564</v>
      </c>
      <c r="I82" s="37" t="s">
        <v>748</v>
      </c>
      <c r="J82" s="37" t="s">
        <v>565</v>
      </c>
      <c r="K82" s="37" t="s">
        <v>556</v>
      </c>
      <c r="L82" s="37" t="s">
        <v>696</v>
      </c>
      <c r="M82" s="37"/>
      <c r="N82" s="37"/>
      <c r="O82" s="37"/>
      <c r="P82" s="37"/>
      <c r="Q82" s="37" t="s">
        <v>635</v>
      </c>
      <c r="R82" s="37" t="s">
        <v>558</v>
      </c>
      <c r="S82" s="37" t="s">
        <v>559</v>
      </c>
      <c r="T82" s="37" t="s">
        <v>771</v>
      </c>
      <c r="U82" s="37"/>
    </row>
    <row r="83" spans="1:21" ht="45" customHeight="1" x14ac:dyDescent="0.25">
      <c r="A83" s="24">
        <v>82</v>
      </c>
      <c r="B83" s="24" t="s">
        <v>96</v>
      </c>
      <c r="C83" s="24" t="s">
        <v>96</v>
      </c>
      <c r="D83" s="36" t="s">
        <v>3</v>
      </c>
      <c r="E83" s="25" t="s">
        <v>769</v>
      </c>
      <c r="F83" s="25" t="s">
        <v>772</v>
      </c>
      <c r="G83" s="24" t="s">
        <v>573</v>
      </c>
      <c r="H83" s="25" t="s">
        <v>553</v>
      </c>
      <c r="I83" s="25" t="s">
        <v>748</v>
      </c>
      <c r="J83" s="25" t="s">
        <v>751</v>
      </c>
      <c r="K83" s="25" t="s">
        <v>556</v>
      </c>
      <c r="L83" s="25" t="s">
        <v>696</v>
      </c>
      <c r="M83" s="25"/>
      <c r="N83" s="25"/>
      <c r="O83" s="25"/>
      <c r="P83" s="25"/>
      <c r="Q83" s="25" t="s">
        <v>635</v>
      </c>
      <c r="R83" s="25" t="s">
        <v>558</v>
      </c>
      <c r="S83" s="25" t="s">
        <v>559</v>
      </c>
      <c r="T83" s="25" t="s">
        <v>773</v>
      </c>
      <c r="U83" s="25"/>
    </row>
    <row r="84" spans="1:21" ht="45" customHeight="1" x14ac:dyDescent="0.25">
      <c r="A84" s="35">
        <v>83</v>
      </c>
      <c r="B84" s="35" t="s">
        <v>97</v>
      </c>
      <c r="C84" s="35" t="s">
        <v>97</v>
      </c>
      <c r="D84" s="36" t="s">
        <v>3</v>
      </c>
      <c r="E84" s="37" t="s">
        <v>774</v>
      </c>
      <c r="F84" s="37" t="s">
        <v>775</v>
      </c>
      <c r="G84" s="35" t="s">
        <v>573</v>
      </c>
      <c r="H84" s="37" t="s">
        <v>553</v>
      </c>
      <c r="I84" s="37" t="s">
        <v>748</v>
      </c>
      <c r="J84" s="37" t="s">
        <v>751</v>
      </c>
      <c r="K84" s="37" t="s">
        <v>556</v>
      </c>
      <c r="L84" s="37" t="s">
        <v>557</v>
      </c>
      <c r="M84" s="37"/>
      <c r="N84" s="37"/>
      <c r="O84" s="37"/>
      <c r="P84" s="37"/>
      <c r="Q84" s="37"/>
      <c r="R84" s="37" t="s">
        <v>558</v>
      </c>
      <c r="S84" s="37" t="s">
        <v>559</v>
      </c>
      <c r="T84" s="37" t="s">
        <v>776</v>
      </c>
      <c r="U84" s="37"/>
    </row>
    <row r="85" spans="1:21" ht="45" customHeight="1" x14ac:dyDescent="0.25">
      <c r="A85" s="24">
        <v>84</v>
      </c>
      <c r="B85" s="24" t="s">
        <v>98</v>
      </c>
      <c r="C85" s="24" t="s">
        <v>98</v>
      </c>
      <c r="D85" s="36" t="s">
        <v>3</v>
      </c>
      <c r="E85" s="25" t="s">
        <v>774</v>
      </c>
      <c r="F85" s="25" t="s">
        <v>777</v>
      </c>
      <c r="G85" s="24" t="s">
        <v>573</v>
      </c>
      <c r="H85" s="25" t="s">
        <v>564</v>
      </c>
      <c r="I85" s="25" t="s">
        <v>748</v>
      </c>
      <c r="J85" s="25" t="s">
        <v>565</v>
      </c>
      <c r="K85" s="25" t="s">
        <v>556</v>
      </c>
      <c r="L85" s="25" t="s">
        <v>557</v>
      </c>
      <c r="M85" s="25"/>
      <c r="N85" s="25"/>
      <c r="O85" s="25"/>
      <c r="P85" s="25"/>
      <c r="Q85" s="25"/>
      <c r="R85" s="25" t="s">
        <v>558</v>
      </c>
      <c r="S85" s="25" t="s">
        <v>559</v>
      </c>
      <c r="T85" s="25" t="s">
        <v>778</v>
      </c>
      <c r="U85" s="25"/>
    </row>
    <row r="86" spans="1:21" ht="45" customHeight="1" x14ac:dyDescent="0.25">
      <c r="A86" s="35">
        <v>85</v>
      </c>
      <c r="B86" s="35" t="s">
        <v>99</v>
      </c>
      <c r="C86" s="35" t="s">
        <v>99</v>
      </c>
      <c r="D86" s="36" t="s">
        <v>3</v>
      </c>
      <c r="E86" s="37" t="s">
        <v>550</v>
      </c>
      <c r="F86" s="37" t="s">
        <v>779</v>
      </c>
      <c r="G86" s="38" t="s">
        <v>552</v>
      </c>
      <c r="H86" s="37" t="s">
        <v>553</v>
      </c>
      <c r="I86" s="37" t="s">
        <v>748</v>
      </c>
      <c r="J86" s="37" t="s">
        <v>555</v>
      </c>
      <c r="K86" s="37" t="s">
        <v>556</v>
      </c>
      <c r="L86" s="37" t="s">
        <v>557</v>
      </c>
      <c r="M86" s="37"/>
      <c r="N86" s="37"/>
      <c r="O86" s="37"/>
      <c r="P86" s="37"/>
      <c r="Q86" s="37"/>
      <c r="R86" s="37" t="s">
        <v>558</v>
      </c>
      <c r="S86" s="37" t="s">
        <v>559</v>
      </c>
      <c r="T86" s="37" t="s">
        <v>780</v>
      </c>
      <c r="U86" s="37" t="s">
        <v>561</v>
      </c>
    </row>
    <row r="87" spans="1:21" ht="45" customHeight="1" x14ac:dyDescent="0.25">
      <c r="A87" s="24">
        <v>86</v>
      </c>
      <c r="B87" s="24" t="s">
        <v>100</v>
      </c>
      <c r="C87" s="24" t="s">
        <v>100</v>
      </c>
      <c r="D87" s="36" t="s">
        <v>3</v>
      </c>
      <c r="E87" s="25" t="s">
        <v>550</v>
      </c>
      <c r="F87" s="25" t="s">
        <v>781</v>
      </c>
      <c r="G87" s="24" t="s">
        <v>573</v>
      </c>
      <c r="H87" s="25" t="s">
        <v>553</v>
      </c>
      <c r="I87" s="25" t="s">
        <v>748</v>
      </c>
      <c r="J87" s="25" t="s">
        <v>782</v>
      </c>
      <c r="K87" s="25" t="s">
        <v>556</v>
      </c>
      <c r="L87" s="25" t="s">
        <v>557</v>
      </c>
      <c r="M87" s="25"/>
      <c r="N87" s="25"/>
      <c r="O87" s="25"/>
      <c r="P87" s="25"/>
      <c r="Q87" s="25"/>
      <c r="R87" s="25" t="s">
        <v>558</v>
      </c>
      <c r="S87" s="25" t="s">
        <v>559</v>
      </c>
      <c r="T87" s="25" t="s">
        <v>783</v>
      </c>
      <c r="U87" s="25"/>
    </row>
    <row r="88" spans="1:21" ht="45" customHeight="1" x14ac:dyDescent="0.25">
      <c r="A88" s="35">
        <v>87</v>
      </c>
      <c r="B88" s="35" t="s">
        <v>101</v>
      </c>
      <c r="C88" s="35" t="s">
        <v>101</v>
      </c>
      <c r="D88" s="36" t="s">
        <v>3</v>
      </c>
      <c r="E88" s="37" t="s">
        <v>550</v>
      </c>
      <c r="F88" s="37" t="s">
        <v>784</v>
      </c>
      <c r="G88" s="38" t="s">
        <v>552</v>
      </c>
      <c r="H88" s="37" t="s">
        <v>564</v>
      </c>
      <c r="I88" s="37" t="s">
        <v>748</v>
      </c>
      <c r="J88" s="37" t="s">
        <v>565</v>
      </c>
      <c r="K88" s="37" t="s">
        <v>566</v>
      </c>
      <c r="L88" s="37" t="s">
        <v>567</v>
      </c>
      <c r="M88" s="37"/>
      <c r="N88" s="37"/>
      <c r="O88" s="37"/>
      <c r="P88" s="37" t="s">
        <v>569</v>
      </c>
      <c r="Q88" s="37"/>
      <c r="R88" s="37" t="s">
        <v>558</v>
      </c>
      <c r="S88" s="37" t="s">
        <v>559</v>
      </c>
      <c r="T88" s="37" t="s">
        <v>785</v>
      </c>
      <c r="U88" s="37" t="s">
        <v>561</v>
      </c>
    </row>
    <row r="89" spans="1:21" ht="45" customHeight="1" x14ac:dyDescent="0.25">
      <c r="A89" s="24">
        <v>88</v>
      </c>
      <c r="B89" s="24" t="s">
        <v>102</v>
      </c>
      <c r="C89" s="24" t="s">
        <v>102</v>
      </c>
      <c r="D89" s="36" t="s">
        <v>3</v>
      </c>
      <c r="E89" s="25" t="s">
        <v>786</v>
      </c>
      <c r="F89" s="25" t="s">
        <v>787</v>
      </c>
      <c r="G89" s="24" t="s">
        <v>573</v>
      </c>
      <c r="H89" s="25" t="s">
        <v>700</v>
      </c>
      <c r="I89" s="25" t="s">
        <v>748</v>
      </c>
      <c r="J89" s="25" t="s">
        <v>578</v>
      </c>
      <c r="K89" s="25" t="s">
        <v>556</v>
      </c>
      <c r="L89" s="25" t="s">
        <v>557</v>
      </c>
      <c r="M89" s="25"/>
      <c r="N89" s="25"/>
      <c r="O89" s="25"/>
      <c r="P89" s="25"/>
      <c r="Q89" s="25"/>
      <c r="R89" s="25" t="s">
        <v>558</v>
      </c>
      <c r="S89" s="25" t="s">
        <v>559</v>
      </c>
      <c r="T89" s="25" t="s">
        <v>788</v>
      </c>
      <c r="U89" s="25"/>
    </row>
    <row r="90" spans="1:21" ht="45" customHeight="1" x14ac:dyDescent="0.25">
      <c r="A90" s="35">
        <v>89</v>
      </c>
      <c r="B90" s="35" t="s">
        <v>103</v>
      </c>
      <c r="C90" s="35" t="s">
        <v>103</v>
      </c>
      <c r="D90" s="36" t="s">
        <v>3</v>
      </c>
      <c r="E90" s="37" t="s">
        <v>550</v>
      </c>
      <c r="F90" s="37" t="s">
        <v>789</v>
      </c>
      <c r="G90" s="35" t="s">
        <v>573</v>
      </c>
      <c r="H90" s="37" t="s">
        <v>553</v>
      </c>
      <c r="I90" s="37" t="s">
        <v>748</v>
      </c>
      <c r="J90" s="37" t="s">
        <v>555</v>
      </c>
      <c r="K90" s="37" t="s">
        <v>556</v>
      </c>
      <c r="L90" s="37" t="s">
        <v>557</v>
      </c>
      <c r="M90" s="37"/>
      <c r="N90" s="37"/>
      <c r="O90" s="37"/>
      <c r="P90" s="37"/>
      <c r="Q90" s="37"/>
      <c r="R90" s="37" t="s">
        <v>558</v>
      </c>
      <c r="S90" s="37" t="s">
        <v>559</v>
      </c>
      <c r="T90" s="37" t="s">
        <v>790</v>
      </c>
      <c r="U90" s="37"/>
    </row>
    <row r="91" spans="1:21" ht="45" customHeight="1" x14ac:dyDescent="0.25">
      <c r="A91" s="24">
        <v>90</v>
      </c>
      <c r="B91" s="24" t="s">
        <v>104</v>
      </c>
      <c r="C91" s="24" t="s">
        <v>104</v>
      </c>
      <c r="D91" s="36" t="s">
        <v>3</v>
      </c>
      <c r="E91" s="25" t="s">
        <v>550</v>
      </c>
      <c r="F91" s="25" t="s">
        <v>791</v>
      </c>
      <c r="G91" s="24" t="s">
        <v>573</v>
      </c>
      <c r="H91" s="25" t="s">
        <v>553</v>
      </c>
      <c r="I91" s="25" t="s">
        <v>748</v>
      </c>
      <c r="J91" s="25" t="s">
        <v>555</v>
      </c>
      <c r="K91" s="25" t="s">
        <v>556</v>
      </c>
      <c r="L91" s="25" t="s">
        <v>557</v>
      </c>
      <c r="M91" s="25"/>
      <c r="N91" s="25"/>
      <c r="O91" s="25"/>
      <c r="P91" s="25"/>
      <c r="Q91" s="25"/>
      <c r="R91" s="25" t="s">
        <v>558</v>
      </c>
      <c r="S91" s="25" t="s">
        <v>559</v>
      </c>
      <c r="T91" s="25" t="s">
        <v>792</v>
      </c>
      <c r="U91" s="25"/>
    </row>
    <row r="92" spans="1:21" ht="45" customHeight="1" x14ac:dyDescent="0.25">
      <c r="A92" s="35">
        <v>91</v>
      </c>
      <c r="B92" s="35" t="s">
        <v>105</v>
      </c>
      <c r="C92" s="35" t="s">
        <v>105</v>
      </c>
      <c r="D92" s="36" t="s">
        <v>3</v>
      </c>
      <c r="E92" s="37" t="s">
        <v>550</v>
      </c>
      <c r="F92" s="37" t="s">
        <v>793</v>
      </c>
      <c r="G92" s="35" t="s">
        <v>573</v>
      </c>
      <c r="H92" s="37" t="s">
        <v>553</v>
      </c>
      <c r="I92" s="37" t="s">
        <v>748</v>
      </c>
      <c r="J92" s="37" t="s">
        <v>794</v>
      </c>
      <c r="K92" s="37" t="s">
        <v>556</v>
      </c>
      <c r="L92" s="37" t="s">
        <v>557</v>
      </c>
      <c r="M92" s="37"/>
      <c r="N92" s="37"/>
      <c r="O92" s="37"/>
      <c r="P92" s="37"/>
      <c r="Q92" s="37"/>
      <c r="R92" s="37" t="s">
        <v>558</v>
      </c>
      <c r="S92" s="37" t="s">
        <v>559</v>
      </c>
      <c r="T92" s="37" t="s">
        <v>795</v>
      </c>
      <c r="U92" s="37"/>
    </row>
    <row r="93" spans="1:21" ht="45" customHeight="1" x14ac:dyDescent="0.25">
      <c r="A93" s="24">
        <v>92</v>
      </c>
      <c r="B93" s="24" t="s">
        <v>106</v>
      </c>
      <c r="C93" s="24" t="s">
        <v>106</v>
      </c>
      <c r="D93" s="36" t="s">
        <v>3</v>
      </c>
      <c r="E93" s="25" t="s">
        <v>550</v>
      </c>
      <c r="F93" s="25" t="s">
        <v>796</v>
      </c>
      <c r="G93" s="24" t="s">
        <v>573</v>
      </c>
      <c r="H93" s="25" t="s">
        <v>700</v>
      </c>
      <c r="I93" s="25" t="s">
        <v>748</v>
      </c>
      <c r="J93" s="25" t="s">
        <v>708</v>
      </c>
      <c r="K93" s="25" t="s">
        <v>556</v>
      </c>
      <c r="L93" s="25" t="s">
        <v>557</v>
      </c>
      <c r="M93" s="25"/>
      <c r="N93" s="25"/>
      <c r="O93" s="25"/>
      <c r="P93" s="25"/>
      <c r="Q93" s="25"/>
      <c r="R93" s="25" t="s">
        <v>558</v>
      </c>
      <c r="S93" s="25" t="s">
        <v>559</v>
      </c>
      <c r="T93" s="25" t="s">
        <v>797</v>
      </c>
      <c r="U93" s="25"/>
    </row>
    <row r="94" spans="1:21" ht="45" customHeight="1" x14ac:dyDescent="0.25">
      <c r="A94" s="35">
        <v>93</v>
      </c>
      <c r="B94" s="35" t="s">
        <v>107</v>
      </c>
      <c r="C94" s="35" t="s">
        <v>107</v>
      </c>
      <c r="D94" s="36" t="s">
        <v>3</v>
      </c>
      <c r="E94" s="37" t="s">
        <v>550</v>
      </c>
      <c r="F94" s="37" t="s">
        <v>798</v>
      </c>
      <c r="G94" s="35" t="s">
        <v>573</v>
      </c>
      <c r="H94" s="37" t="s">
        <v>553</v>
      </c>
      <c r="I94" s="37" t="s">
        <v>748</v>
      </c>
      <c r="J94" s="37" t="s">
        <v>555</v>
      </c>
      <c r="K94" s="37" t="s">
        <v>556</v>
      </c>
      <c r="L94" s="37" t="s">
        <v>557</v>
      </c>
      <c r="M94" s="37"/>
      <c r="N94" s="37"/>
      <c r="O94" s="37"/>
      <c r="P94" s="37"/>
      <c r="Q94" s="37"/>
      <c r="R94" s="37" t="s">
        <v>558</v>
      </c>
      <c r="S94" s="37" t="s">
        <v>559</v>
      </c>
      <c r="T94" s="37" t="s">
        <v>799</v>
      </c>
      <c r="U94" s="37"/>
    </row>
    <row r="95" spans="1:21" ht="45" customHeight="1" x14ac:dyDescent="0.25">
      <c r="A95" s="24">
        <v>94</v>
      </c>
      <c r="B95" s="24" t="s">
        <v>108</v>
      </c>
      <c r="C95" s="24" t="s">
        <v>108</v>
      </c>
      <c r="D95" s="36" t="s">
        <v>3</v>
      </c>
      <c r="E95" s="25" t="s">
        <v>550</v>
      </c>
      <c r="F95" s="25" t="s">
        <v>800</v>
      </c>
      <c r="G95" s="24" t="s">
        <v>573</v>
      </c>
      <c r="H95" s="25" t="s">
        <v>553</v>
      </c>
      <c r="I95" s="25" t="s">
        <v>748</v>
      </c>
      <c r="J95" s="25" t="s">
        <v>782</v>
      </c>
      <c r="K95" s="25" t="s">
        <v>556</v>
      </c>
      <c r="L95" s="25" t="s">
        <v>557</v>
      </c>
      <c r="M95" s="25"/>
      <c r="N95" s="25"/>
      <c r="O95" s="25"/>
      <c r="P95" s="25"/>
      <c r="Q95" s="25"/>
      <c r="R95" s="25" t="s">
        <v>558</v>
      </c>
      <c r="S95" s="25" t="s">
        <v>559</v>
      </c>
      <c r="T95" s="25" t="s">
        <v>801</v>
      </c>
      <c r="U95" s="25"/>
    </row>
    <row r="96" spans="1:21" ht="45" customHeight="1" x14ac:dyDescent="0.25">
      <c r="A96" s="35">
        <v>95</v>
      </c>
      <c r="B96" s="35" t="s">
        <v>109</v>
      </c>
      <c r="C96" s="35" t="s">
        <v>109</v>
      </c>
      <c r="D96" s="36" t="s">
        <v>3</v>
      </c>
      <c r="E96" s="37" t="s">
        <v>550</v>
      </c>
      <c r="F96" s="37" t="s">
        <v>802</v>
      </c>
      <c r="G96" s="35" t="s">
        <v>573</v>
      </c>
      <c r="H96" s="37" t="s">
        <v>553</v>
      </c>
      <c r="I96" s="37" t="s">
        <v>748</v>
      </c>
      <c r="J96" s="37" t="s">
        <v>782</v>
      </c>
      <c r="K96" s="37" t="s">
        <v>556</v>
      </c>
      <c r="L96" s="37" t="s">
        <v>557</v>
      </c>
      <c r="M96" s="37"/>
      <c r="N96" s="37"/>
      <c r="O96" s="37"/>
      <c r="P96" s="37"/>
      <c r="Q96" s="37"/>
      <c r="R96" s="37" t="s">
        <v>558</v>
      </c>
      <c r="S96" s="37" t="s">
        <v>559</v>
      </c>
      <c r="T96" s="37" t="s">
        <v>803</v>
      </c>
      <c r="U96" s="37"/>
    </row>
    <row r="97" spans="1:21" ht="45" customHeight="1" x14ac:dyDescent="0.25">
      <c r="A97" s="24">
        <v>96</v>
      </c>
      <c r="B97" s="24" t="s">
        <v>110</v>
      </c>
      <c r="C97" s="24" t="s">
        <v>110</v>
      </c>
      <c r="D97" s="36" t="s">
        <v>3</v>
      </c>
      <c r="E97" s="25" t="s">
        <v>550</v>
      </c>
      <c r="F97" s="25" t="s">
        <v>804</v>
      </c>
      <c r="G97" s="24" t="s">
        <v>573</v>
      </c>
      <c r="H97" s="25" t="s">
        <v>553</v>
      </c>
      <c r="I97" s="25" t="s">
        <v>748</v>
      </c>
      <c r="J97" s="25" t="s">
        <v>805</v>
      </c>
      <c r="K97" s="25" t="s">
        <v>556</v>
      </c>
      <c r="L97" s="25" t="s">
        <v>557</v>
      </c>
      <c r="M97" s="25"/>
      <c r="N97" s="25"/>
      <c r="O97" s="25"/>
      <c r="P97" s="25"/>
      <c r="Q97" s="25"/>
      <c r="R97" s="25" t="s">
        <v>558</v>
      </c>
      <c r="S97" s="25" t="s">
        <v>559</v>
      </c>
      <c r="T97" s="25" t="s">
        <v>806</v>
      </c>
      <c r="U97" s="25"/>
    </row>
    <row r="98" spans="1:21" ht="45" customHeight="1" x14ac:dyDescent="0.25">
      <c r="A98" s="35">
        <v>97</v>
      </c>
      <c r="B98" s="35" t="s">
        <v>111</v>
      </c>
      <c r="C98" s="35" t="s">
        <v>111</v>
      </c>
      <c r="D98" s="36" t="s">
        <v>3</v>
      </c>
      <c r="E98" s="37" t="s">
        <v>550</v>
      </c>
      <c r="F98" s="37" t="s">
        <v>807</v>
      </c>
      <c r="G98" s="35" t="s">
        <v>573</v>
      </c>
      <c r="H98" s="37" t="s">
        <v>553</v>
      </c>
      <c r="I98" s="37" t="s">
        <v>748</v>
      </c>
      <c r="J98" s="37" t="s">
        <v>805</v>
      </c>
      <c r="K98" s="37" t="s">
        <v>556</v>
      </c>
      <c r="L98" s="37" t="s">
        <v>557</v>
      </c>
      <c r="M98" s="37"/>
      <c r="N98" s="37"/>
      <c r="O98" s="37"/>
      <c r="P98" s="37"/>
      <c r="Q98" s="37"/>
      <c r="R98" s="37" t="s">
        <v>558</v>
      </c>
      <c r="S98" s="37" t="s">
        <v>559</v>
      </c>
      <c r="T98" s="37" t="s">
        <v>808</v>
      </c>
      <c r="U98" s="37"/>
    </row>
    <row r="99" spans="1:21" ht="45" customHeight="1" x14ac:dyDescent="0.25">
      <c r="A99" s="24">
        <v>98</v>
      </c>
      <c r="B99" s="24" t="s">
        <v>112</v>
      </c>
      <c r="C99" s="24" t="s">
        <v>112</v>
      </c>
      <c r="D99" s="36" t="s">
        <v>3</v>
      </c>
      <c r="E99" s="25" t="s">
        <v>809</v>
      </c>
      <c r="F99" s="25" t="s">
        <v>810</v>
      </c>
      <c r="G99" s="26" t="s">
        <v>552</v>
      </c>
      <c r="H99" s="25" t="s">
        <v>564</v>
      </c>
      <c r="I99" s="25" t="s">
        <v>748</v>
      </c>
      <c r="J99" s="25" t="s">
        <v>565</v>
      </c>
      <c r="K99" s="25" t="s">
        <v>811</v>
      </c>
      <c r="L99" s="25" t="s">
        <v>567</v>
      </c>
      <c r="M99" s="25"/>
      <c r="N99" s="25" t="s">
        <v>602</v>
      </c>
      <c r="O99" s="25" t="s">
        <v>568</v>
      </c>
      <c r="P99" s="25" t="s">
        <v>569</v>
      </c>
      <c r="Q99" s="25"/>
      <c r="R99" s="25" t="s">
        <v>570</v>
      </c>
      <c r="S99" s="25" t="s">
        <v>559</v>
      </c>
      <c r="T99" s="25" t="s">
        <v>812</v>
      </c>
      <c r="U99" s="25" t="s">
        <v>561</v>
      </c>
    </row>
    <row r="100" spans="1:21" ht="45" customHeight="1" x14ac:dyDescent="0.25">
      <c r="A100" s="35">
        <v>99</v>
      </c>
      <c r="B100" s="35" t="s">
        <v>113</v>
      </c>
      <c r="C100" s="35" t="s">
        <v>113</v>
      </c>
      <c r="D100" s="36" t="s">
        <v>3</v>
      </c>
      <c r="E100" s="37" t="s">
        <v>550</v>
      </c>
      <c r="F100" s="37" t="s">
        <v>813</v>
      </c>
      <c r="G100" s="35" t="s">
        <v>573</v>
      </c>
      <c r="H100" s="37" t="s">
        <v>553</v>
      </c>
      <c r="I100" s="37" t="s">
        <v>748</v>
      </c>
      <c r="J100" s="37" t="s">
        <v>555</v>
      </c>
      <c r="K100" s="37" t="s">
        <v>556</v>
      </c>
      <c r="L100" s="37" t="s">
        <v>557</v>
      </c>
      <c r="M100" s="37"/>
      <c r="N100" s="37"/>
      <c r="O100" s="37"/>
      <c r="P100" s="37"/>
      <c r="Q100" s="37"/>
      <c r="R100" s="37" t="s">
        <v>558</v>
      </c>
      <c r="S100" s="37" t="s">
        <v>559</v>
      </c>
      <c r="T100" s="37" t="s">
        <v>814</v>
      </c>
      <c r="U100" s="37"/>
    </row>
    <row r="101" spans="1:21" ht="45" customHeight="1" x14ac:dyDescent="0.25">
      <c r="A101" s="24">
        <v>100</v>
      </c>
      <c r="B101" s="24" t="s">
        <v>114</v>
      </c>
      <c r="C101" s="24" t="s">
        <v>114</v>
      </c>
      <c r="D101" s="36" t="s">
        <v>3</v>
      </c>
      <c r="E101" s="25" t="s">
        <v>550</v>
      </c>
      <c r="F101" s="25" t="s">
        <v>815</v>
      </c>
      <c r="G101" s="24" t="s">
        <v>573</v>
      </c>
      <c r="H101" s="25" t="s">
        <v>553</v>
      </c>
      <c r="I101" s="25" t="s">
        <v>748</v>
      </c>
      <c r="J101" s="25" t="s">
        <v>555</v>
      </c>
      <c r="K101" s="25" t="s">
        <v>556</v>
      </c>
      <c r="L101" s="25" t="s">
        <v>557</v>
      </c>
      <c r="M101" s="25"/>
      <c r="N101" s="25"/>
      <c r="O101" s="25"/>
      <c r="P101" s="25"/>
      <c r="Q101" s="25"/>
      <c r="R101" s="25" t="s">
        <v>558</v>
      </c>
      <c r="S101" s="25" t="s">
        <v>559</v>
      </c>
      <c r="T101" s="25" t="s">
        <v>816</v>
      </c>
      <c r="U101" s="25"/>
    </row>
    <row r="102" spans="1:21" ht="45" customHeight="1" x14ac:dyDescent="0.25">
      <c r="A102" s="35">
        <v>101</v>
      </c>
      <c r="B102" s="35" t="s">
        <v>115</v>
      </c>
      <c r="C102" s="35" t="s">
        <v>115</v>
      </c>
      <c r="D102" s="36" t="s">
        <v>3</v>
      </c>
      <c r="E102" s="37" t="s">
        <v>550</v>
      </c>
      <c r="F102" s="37" t="s">
        <v>817</v>
      </c>
      <c r="G102" s="38" t="s">
        <v>552</v>
      </c>
      <c r="H102" s="37" t="s">
        <v>553</v>
      </c>
      <c r="I102" s="37" t="s">
        <v>748</v>
      </c>
      <c r="J102" s="37" t="s">
        <v>555</v>
      </c>
      <c r="K102" s="37" t="s">
        <v>556</v>
      </c>
      <c r="L102" s="37" t="s">
        <v>557</v>
      </c>
      <c r="M102" s="37"/>
      <c r="N102" s="37"/>
      <c r="O102" s="37"/>
      <c r="P102" s="37"/>
      <c r="Q102" s="37"/>
      <c r="R102" s="37" t="s">
        <v>558</v>
      </c>
      <c r="S102" s="37" t="s">
        <v>559</v>
      </c>
      <c r="T102" s="37" t="s">
        <v>818</v>
      </c>
      <c r="U102" s="37" t="s">
        <v>561</v>
      </c>
    </row>
    <row r="103" spans="1:21" ht="45" customHeight="1" x14ac:dyDescent="0.25">
      <c r="A103" s="24">
        <v>102</v>
      </c>
      <c r="B103" s="24" t="s">
        <v>116</v>
      </c>
      <c r="C103" s="24" t="s">
        <v>116</v>
      </c>
      <c r="D103" s="36" t="s">
        <v>3</v>
      </c>
      <c r="E103" s="25" t="s">
        <v>550</v>
      </c>
      <c r="F103" s="25" t="s">
        <v>819</v>
      </c>
      <c r="G103" s="26" t="s">
        <v>552</v>
      </c>
      <c r="H103" s="25" t="s">
        <v>553</v>
      </c>
      <c r="I103" s="25" t="s">
        <v>748</v>
      </c>
      <c r="J103" s="25" t="s">
        <v>555</v>
      </c>
      <c r="K103" s="25" t="s">
        <v>556</v>
      </c>
      <c r="L103" s="25" t="s">
        <v>557</v>
      </c>
      <c r="M103" s="25"/>
      <c r="N103" s="25"/>
      <c r="O103" s="25"/>
      <c r="P103" s="25"/>
      <c r="Q103" s="25"/>
      <c r="R103" s="25" t="s">
        <v>558</v>
      </c>
      <c r="S103" s="25" t="s">
        <v>559</v>
      </c>
      <c r="T103" s="25" t="s">
        <v>820</v>
      </c>
      <c r="U103" s="25" t="s">
        <v>561</v>
      </c>
    </row>
    <row r="104" spans="1:21" ht="45" customHeight="1" x14ac:dyDescent="0.25">
      <c r="A104" s="35">
        <v>103</v>
      </c>
      <c r="B104" s="35" t="s">
        <v>117</v>
      </c>
      <c r="C104" s="35" t="s">
        <v>117</v>
      </c>
      <c r="D104" s="36" t="s">
        <v>3</v>
      </c>
      <c r="E104" s="37" t="s">
        <v>550</v>
      </c>
      <c r="F104" s="37" t="s">
        <v>821</v>
      </c>
      <c r="G104" s="38" t="s">
        <v>552</v>
      </c>
      <c r="H104" s="37" t="s">
        <v>553</v>
      </c>
      <c r="I104" s="37" t="s">
        <v>748</v>
      </c>
      <c r="J104" s="37" t="s">
        <v>555</v>
      </c>
      <c r="K104" s="37" t="s">
        <v>556</v>
      </c>
      <c r="L104" s="37" t="s">
        <v>557</v>
      </c>
      <c r="M104" s="37"/>
      <c r="N104" s="37"/>
      <c r="O104" s="37"/>
      <c r="P104" s="37"/>
      <c r="Q104" s="37"/>
      <c r="R104" s="37" t="s">
        <v>558</v>
      </c>
      <c r="S104" s="37" t="s">
        <v>559</v>
      </c>
      <c r="T104" s="37" t="s">
        <v>822</v>
      </c>
      <c r="U104" s="37" t="s">
        <v>561</v>
      </c>
    </row>
    <row r="105" spans="1:21" ht="45" customHeight="1" x14ac:dyDescent="0.25">
      <c r="A105" s="24">
        <v>104</v>
      </c>
      <c r="B105" s="24" t="s">
        <v>118</v>
      </c>
      <c r="C105" s="24" t="s">
        <v>118</v>
      </c>
      <c r="D105" s="36" t="s">
        <v>3</v>
      </c>
      <c r="E105" s="25" t="s">
        <v>550</v>
      </c>
      <c r="F105" s="25" t="s">
        <v>823</v>
      </c>
      <c r="G105" s="26" t="s">
        <v>552</v>
      </c>
      <c r="H105" s="25" t="s">
        <v>564</v>
      </c>
      <c r="I105" s="25" t="s">
        <v>748</v>
      </c>
      <c r="J105" s="25" t="s">
        <v>565</v>
      </c>
      <c r="K105" s="25" t="s">
        <v>566</v>
      </c>
      <c r="L105" s="25" t="s">
        <v>567</v>
      </c>
      <c r="M105" s="25"/>
      <c r="N105" s="25"/>
      <c r="O105" s="25"/>
      <c r="P105" s="25" t="s">
        <v>569</v>
      </c>
      <c r="Q105" s="25"/>
      <c r="R105" s="25" t="s">
        <v>558</v>
      </c>
      <c r="S105" s="25" t="s">
        <v>559</v>
      </c>
      <c r="T105" s="25" t="s">
        <v>824</v>
      </c>
      <c r="U105" s="25" t="s">
        <v>561</v>
      </c>
    </row>
    <row r="106" spans="1:21" ht="45" customHeight="1" x14ac:dyDescent="0.25">
      <c r="A106" s="35">
        <v>105</v>
      </c>
      <c r="B106" s="35" t="s">
        <v>119</v>
      </c>
      <c r="C106" s="35" t="s">
        <v>119</v>
      </c>
      <c r="D106" s="36" t="s">
        <v>3</v>
      </c>
      <c r="E106" s="37" t="s">
        <v>755</v>
      </c>
      <c r="F106" s="37" t="s">
        <v>825</v>
      </c>
      <c r="G106" s="38" t="s">
        <v>552</v>
      </c>
      <c r="H106" s="37" t="s">
        <v>600</v>
      </c>
      <c r="I106" s="37" t="s">
        <v>748</v>
      </c>
      <c r="J106" s="37" t="s">
        <v>757</v>
      </c>
      <c r="K106" s="37" t="s">
        <v>556</v>
      </c>
      <c r="L106" s="37" t="s">
        <v>557</v>
      </c>
      <c r="M106" s="37"/>
      <c r="N106" s="37"/>
      <c r="O106" s="37"/>
      <c r="P106" s="37"/>
      <c r="Q106" s="37"/>
      <c r="R106" s="37" t="s">
        <v>570</v>
      </c>
      <c r="S106" s="37" t="s">
        <v>559</v>
      </c>
      <c r="T106" s="37" t="s">
        <v>826</v>
      </c>
      <c r="U106" s="37" t="s">
        <v>591</v>
      </c>
    </row>
    <row r="107" spans="1:21" ht="45" customHeight="1" x14ac:dyDescent="0.25">
      <c r="A107" s="24">
        <v>106</v>
      </c>
      <c r="B107" s="24" t="s">
        <v>120</v>
      </c>
      <c r="C107" s="24" t="s">
        <v>120</v>
      </c>
      <c r="D107" s="36" t="s">
        <v>3</v>
      </c>
      <c r="E107" s="25" t="s">
        <v>759</v>
      </c>
      <c r="F107" s="25" t="s">
        <v>827</v>
      </c>
      <c r="G107" s="26" t="s">
        <v>552</v>
      </c>
      <c r="H107" s="25" t="s">
        <v>600</v>
      </c>
      <c r="I107" s="25" t="s">
        <v>748</v>
      </c>
      <c r="J107" s="25" t="s">
        <v>761</v>
      </c>
      <c r="K107" s="25" t="s">
        <v>556</v>
      </c>
      <c r="L107" s="25" t="s">
        <v>557</v>
      </c>
      <c r="M107" s="25"/>
      <c r="N107" s="25"/>
      <c r="O107" s="25"/>
      <c r="P107" s="25"/>
      <c r="Q107" s="25"/>
      <c r="R107" s="25" t="s">
        <v>570</v>
      </c>
      <c r="S107" s="25" t="s">
        <v>559</v>
      </c>
      <c r="T107" s="25" t="s">
        <v>828</v>
      </c>
      <c r="U107" s="25" t="s">
        <v>591</v>
      </c>
    </row>
    <row r="108" spans="1:21" ht="45" customHeight="1" x14ac:dyDescent="0.25">
      <c r="A108" s="35">
        <v>107</v>
      </c>
      <c r="B108" s="35" t="s">
        <v>121</v>
      </c>
      <c r="C108" s="35" t="s">
        <v>121</v>
      </c>
      <c r="D108" s="36" t="s">
        <v>3</v>
      </c>
      <c r="E108" s="37" t="s">
        <v>550</v>
      </c>
      <c r="F108" s="37" t="s">
        <v>829</v>
      </c>
      <c r="G108" s="35" t="s">
        <v>573</v>
      </c>
      <c r="H108" s="37" t="s">
        <v>553</v>
      </c>
      <c r="I108" s="37" t="s">
        <v>748</v>
      </c>
      <c r="J108" s="37" t="s">
        <v>555</v>
      </c>
      <c r="K108" s="37" t="s">
        <v>556</v>
      </c>
      <c r="L108" s="37" t="s">
        <v>557</v>
      </c>
      <c r="M108" s="37"/>
      <c r="N108" s="37"/>
      <c r="O108" s="37"/>
      <c r="P108" s="37"/>
      <c r="Q108" s="37"/>
      <c r="R108" s="37" t="s">
        <v>558</v>
      </c>
      <c r="S108" s="37" t="s">
        <v>559</v>
      </c>
      <c r="T108" s="37" t="s">
        <v>830</v>
      </c>
      <c r="U108" s="37"/>
    </row>
    <row r="109" spans="1:21" ht="45" customHeight="1" x14ac:dyDescent="0.25">
      <c r="A109" s="24">
        <v>108</v>
      </c>
      <c r="B109" s="24" t="s">
        <v>122</v>
      </c>
      <c r="C109" s="24" t="s">
        <v>122</v>
      </c>
      <c r="D109" s="36" t="s">
        <v>3</v>
      </c>
      <c r="E109" s="25" t="s">
        <v>809</v>
      </c>
      <c r="F109" s="25" t="s">
        <v>831</v>
      </c>
      <c r="G109" s="24" t="s">
        <v>573</v>
      </c>
      <c r="H109" s="25" t="s">
        <v>564</v>
      </c>
      <c r="I109" s="25" t="s">
        <v>748</v>
      </c>
      <c r="J109" s="25" t="s">
        <v>565</v>
      </c>
      <c r="K109" s="25" t="s">
        <v>556</v>
      </c>
      <c r="L109" s="25" t="s">
        <v>557</v>
      </c>
      <c r="M109" s="25"/>
      <c r="N109" s="25"/>
      <c r="O109" s="25"/>
      <c r="P109" s="25"/>
      <c r="Q109" s="25"/>
      <c r="R109" s="25" t="s">
        <v>558</v>
      </c>
      <c r="S109" s="25" t="s">
        <v>559</v>
      </c>
      <c r="T109" s="25" t="s">
        <v>832</v>
      </c>
      <c r="U109" s="25"/>
    </row>
    <row r="110" spans="1:21" ht="45" customHeight="1" x14ac:dyDescent="0.25">
      <c r="A110" s="35">
        <v>109</v>
      </c>
      <c r="B110" s="35" t="s">
        <v>123</v>
      </c>
      <c r="C110" s="35" t="s">
        <v>123</v>
      </c>
      <c r="D110" s="36" t="s">
        <v>3</v>
      </c>
      <c r="E110" s="37" t="s">
        <v>154</v>
      </c>
      <c r="F110" s="37" t="s">
        <v>833</v>
      </c>
      <c r="G110" s="38" t="s">
        <v>552</v>
      </c>
      <c r="H110" s="37" t="s">
        <v>564</v>
      </c>
      <c r="I110" s="37" t="s">
        <v>748</v>
      </c>
      <c r="J110" s="37" t="s">
        <v>565</v>
      </c>
      <c r="K110" s="37" t="s">
        <v>566</v>
      </c>
      <c r="L110" s="37" t="s">
        <v>567</v>
      </c>
      <c r="M110" s="37"/>
      <c r="N110" s="37"/>
      <c r="O110" s="37"/>
      <c r="P110" s="37" t="s">
        <v>569</v>
      </c>
      <c r="Q110" s="37"/>
      <c r="R110" s="37" t="s">
        <v>558</v>
      </c>
      <c r="S110" s="37" t="s">
        <v>559</v>
      </c>
      <c r="T110" s="37" t="s">
        <v>834</v>
      </c>
      <c r="U110" s="37" t="s">
        <v>561</v>
      </c>
    </row>
    <row r="111" spans="1:21" ht="45" customHeight="1" x14ac:dyDescent="0.25">
      <c r="A111" s="24">
        <v>110</v>
      </c>
      <c r="B111" s="24" t="s">
        <v>124</v>
      </c>
      <c r="C111" s="24" t="s">
        <v>124</v>
      </c>
      <c r="D111" s="36" t="s">
        <v>3</v>
      </c>
      <c r="E111" s="25" t="s">
        <v>154</v>
      </c>
      <c r="F111" s="25" t="s">
        <v>835</v>
      </c>
      <c r="G111" s="24" t="s">
        <v>573</v>
      </c>
      <c r="H111" s="25" t="s">
        <v>553</v>
      </c>
      <c r="I111" s="25" t="s">
        <v>748</v>
      </c>
      <c r="J111" s="25" t="s">
        <v>751</v>
      </c>
      <c r="K111" s="25" t="s">
        <v>556</v>
      </c>
      <c r="L111" s="25" t="s">
        <v>557</v>
      </c>
      <c r="M111" s="25"/>
      <c r="N111" s="25"/>
      <c r="O111" s="25"/>
      <c r="P111" s="25"/>
      <c r="Q111" s="25"/>
      <c r="R111" s="25" t="s">
        <v>558</v>
      </c>
      <c r="S111" s="25" t="s">
        <v>559</v>
      </c>
      <c r="T111" s="25" t="s">
        <v>836</v>
      </c>
      <c r="U111" s="25"/>
    </row>
    <row r="112" spans="1:21" ht="45" customHeight="1" x14ac:dyDescent="0.25">
      <c r="A112" s="35">
        <v>111</v>
      </c>
      <c r="B112" s="35" t="s">
        <v>125</v>
      </c>
      <c r="C112" s="35" t="s">
        <v>125</v>
      </c>
      <c r="D112" s="36" t="s">
        <v>3</v>
      </c>
      <c r="E112" s="37" t="s">
        <v>154</v>
      </c>
      <c r="F112" s="37" t="s">
        <v>837</v>
      </c>
      <c r="G112" s="38" t="s">
        <v>552</v>
      </c>
      <c r="H112" s="37" t="s">
        <v>564</v>
      </c>
      <c r="I112" s="37" t="s">
        <v>748</v>
      </c>
      <c r="J112" s="37" t="s">
        <v>565</v>
      </c>
      <c r="K112" s="37" t="s">
        <v>566</v>
      </c>
      <c r="L112" s="37" t="s">
        <v>567</v>
      </c>
      <c r="M112" s="37"/>
      <c r="N112" s="37"/>
      <c r="O112" s="37"/>
      <c r="P112" s="37" t="s">
        <v>569</v>
      </c>
      <c r="Q112" s="37"/>
      <c r="R112" s="37" t="s">
        <v>558</v>
      </c>
      <c r="S112" s="37" t="s">
        <v>559</v>
      </c>
      <c r="T112" s="37" t="s">
        <v>838</v>
      </c>
      <c r="U112" s="37" t="s">
        <v>561</v>
      </c>
    </row>
    <row r="113" spans="1:21" ht="45" customHeight="1" x14ac:dyDescent="0.25">
      <c r="A113" s="24">
        <v>112</v>
      </c>
      <c r="B113" s="24" t="s">
        <v>126</v>
      </c>
      <c r="C113" s="24" t="s">
        <v>126</v>
      </c>
      <c r="D113" s="36" t="s">
        <v>3</v>
      </c>
      <c r="E113" s="25" t="s">
        <v>154</v>
      </c>
      <c r="F113" s="25" t="s">
        <v>839</v>
      </c>
      <c r="G113" s="24" t="s">
        <v>573</v>
      </c>
      <c r="H113" s="25" t="s">
        <v>553</v>
      </c>
      <c r="I113" s="25" t="s">
        <v>748</v>
      </c>
      <c r="J113" s="25" t="s">
        <v>751</v>
      </c>
      <c r="K113" s="25" t="s">
        <v>556</v>
      </c>
      <c r="L113" s="25" t="s">
        <v>557</v>
      </c>
      <c r="M113" s="25"/>
      <c r="N113" s="25"/>
      <c r="O113" s="25"/>
      <c r="P113" s="25"/>
      <c r="Q113" s="25"/>
      <c r="R113" s="25" t="s">
        <v>558</v>
      </c>
      <c r="S113" s="25" t="s">
        <v>559</v>
      </c>
      <c r="T113" s="25" t="s">
        <v>840</v>
      </c>
      <c r="U113" s="25"/>
    </row>
    <row r="114" spans="1:21" ht="45" customHeight="1" x14ac:dyDescent="0.25">
      <c r="A114" s="35">
        <v>113</v>
      </c>
      <c r="B114" s="35" t="s">
        <v>127</v>
      </c>
      <c r="C114" s="35" t="s">
        <v>127</v>
      </c>
      <c r="D114" s="36" t="s">
        <v>3</v>
      </c>
      <c r="E114" s="37" t="s">
        <v>154</v>
      </c>
      <c r="F114" s="37" t="s">
        <v>841</v>
      </c>
      <c r="G114" s="38" t="s">
        <v>552</v>
      </c>
      <c r="H114" s="37" t="s">
        <v>564</v>
      </c>
      <c r="I114" s="37" t="s">
        <v>748</v>
      </c>
      <c r="J114" s="37" t="s">
        <v>565</v>
      </c>
      <c r="K114" s="37" t="s">
        <v>566</v>
      </c>
      <c r="L114" s="37" t="s">
        <v>567</v>
      </c>
      <c r="M114" s="37"/>
      <c r="N114" s="37"/>
      <c r="O114" s="37"/>
      <c r="P114" s="37" t="s">
        <v>569</v>
      </c>
      <c r="Q114" s="37"/>
      <c r="R114" s="37" t="s">
        <v>558</v>
      </c>
      <c r="S114" s="37" t="s">
        <v>559</v>
      </c>
      <c r="T114" s="37" t="s">
        <v>842</v>
      </c>
      <c r="U114" s="37" t="s">
        <v>561</v>
      </c>
    </row>
    <row r="115" spans="1:21" ht="45" customHeight="1" x14ac:dyDescent="0.25">
      <c r="A115" s="24">
        <v>114</v>
      </c>
      <c r="B115" s="24" t="s">
        <v>128</v>
      </c>
      <c r="C115" s="24" t="s">
        <v>128</v>
      </c>
      <c r="D115" s="36" t="s">
        <v>3</v>
      </c>
      <c r="E115" s="25" t="s">
        <v>154</v>
      </c>
      <c r="F115" s="25" t="s">
        <v>843</v>
      </c>
      <c r="G115" s="24" t="s">
        <v>573</v>
      </c>
      <c r="H115" s="25" t="s">
        <v>553</v>
      </c>
      <c r="I115" s="25" t="s">
        <v>748</v>
      </c>
      <c r="J115" s="25" t="s">
        <v>751</v>
      </c>
      <c r="K115" s="25" t="s">
        <v>556</v>
      </c>
      <c r="L115" s="25" t="s">
        <v>557</v>
      </c>
      <c r="M115" s="25"/>
      <c r="N115" s="25"/>
      <c r="O115" s="25"/>
      <c r="P115" s="25"/>
      <c r="Q115" s="25"/>
      <c r="R115" s="25" t="s">
        <v>558</v>
      </c>
      <c r="S115" s="25" t="s">
        <v>559</v>
      </c>
      <c r="T115" s="25" t="s">
        <v>844</v>
      </c>
      <c r="U115" s="25"/>
    </row>
    <row r="116" spans="1:21" ht="45" customHeight="1" x14ac:dyDescent="0.25">
      <c r="A116" s="35">
        <v>115</v>
      </c>
      <c r="B116" s="35" t="s">
        <v>129</v>
      </c>
      <c r="C116" s="35" t="s">
        <v>129</v>
      </c>
      <c r="D116" s="36" t="s">
        <v>3</v>
      </c>
      <c r="E116" s="37" t="s">
        <v>550</v>
      </c>
      <c r="F116" s="37" t="s">
        <v>845</v>
      </c>
      <c r="G116" s="35" t="s">
        <v>573</v>
      </c>
      <c r="H116" s="37" t="s">
        <v>610</v>
      </c>
      <c r="I116" s="37" t="s">
        <v>748</v>
      </c>
      <c r="J116" s="37" t="s">
        <v>578</v>
      </c>
      <c r="K116" s="37" t="s">
        <v>556</v>
      </c>
      <c r="L116" s="37" t="s">
        <v>557</v>
      </c>
      <c r="M116" s="37"/>
      <c r="N116" s="37"/>
      <c r="O116" s="37"/>
      <c r="P116" s="37"/>
      <c r="Q116" s="37"/>
      <c r="R116" s="37" t="s">
        <v>558</v>
      </c>
      <c r="S116" s="37" t="s">
        <v>559</v>
      </c>
      <c r="T116" s="37" t="s">
        <v>846</v>
      </c>
      <c r="U116" s="37"/>
    </row>
    <row r="117" spans="1:21" ht="45" customHeight="1" x14ac:dyDescent="0.25">
      <c r="A117" s="24">
        <v>116</v>
      </c>
      <c r="B117" s="24" t="s">
        <v>130</v>
      </c>
      <c r="C117" s="24" t="s">
        <v>130</v>
      </c>
      <c r="D117" s="36" t="s">
        <v>3</v>
      </c>
      <c r="E117" s="25" t="s">
        <v>550</v>
      </c>
      <c r="F117" s="25" t="s">
        <v>847</v>
      </c>
      <c r="G117" s="24" t="s">
        <v>573</v>
      </c>
      <c r="H117" s="25" t="s">
        <v>553</v>
      </c>
      <c r="I117" s="25" t="s">
        <v>748</v>
      </c>
      <c r="J117" s="25" t="s">
        <v>555</v>
      </c>
      <c r="K117" s="25" t="s">
        <v>556</v>
      </c>
      <c r="L117" s="25" t="s">
        <v>557</v>
      </c>
      <c r="M117" s="25"/>
      <c r="N117" s="25"/>
      <c r="O117" s="25"/>
      <c r="P117" s="25"/>
      <c r="Q117" s="25"/>
      <c r="R117" s="25" t="s">
        <v>558</v>
      </c>
      <c r="S117" s="25" t="s">
        <v>559</v>
      </c>
      <c r="T117" s="25" t="s">
        <v>848</v>
      </c>
      <c r="U117" s="25"/>
    </row>
    <row r="118" spans="1:21" ht="45" customHeight="1" x14ac:dyDescent="0.25">
      <c r="A118" s="35">
        <v>117</v>
      </c>
      <c r="B118" s="35" t="s">
        <v>131</v>
      </c>
      <c r="C118" s="35" t="s">
        <v>131</v>
      </c>
      <c r="D118" s="36" t="s">
        <v>3</v>
      </c>
      <c r="E118" s="37" t="s">
        <v>746</v>
      </c>
      <c r="F118" s="37" t="s">
        <v>849</v>
      </c>
      <c r="G118" s="35" t="s">
        <v>573</v>
      </c>
      <c r="H118" s="37" t="s">
        <v>700</v>
      </c>
      <c r="I118" s="37" t="s">
        <v>748</v>
      </c>
      <c r="J118" s="37" t="s">
        <v>708</v>
      </c>
      <c r="K118" s="37" t="s">
        <v>556</v>
      </c>
      <c r="L118" s="37" t="s">
        <v>557</v>
      </c>
      <c r="M118" s="37"/>
      <c r="N118" s="37"/>
      <c r="O118" s="37"/>
      <c r="P118" s="37"/>
      <c r="Q118" s="37"/>
      <c r="R118" s="37" t="s">
        <v>558</v>
      </c>
      <c r="S118" s="37" t="s">
        <v>559</v>
      </c>
      <c r="T118" s="37" t="s">
        <v>850</v>
      </c>
      <c r="U118" s="37"/>
    </row>
    <row r="119" spans="1:21" ht="45" customHeight="1" x14ac:dyDescent="0.25">
      <c r="A119" s="24">
        <v>118</v>
      </c>
      <c r="B119" s="24" t="s">
        <v>132</v>
      </c>
      <c r="C119" s="24" t="s">
        <v>132</v>
      </c>
      <c r="D119" s="36" t="s">
        <v>3</v>
      </c>
      <c r="E119" s="25" t="s">
        <v>769</v>
      </c>
      <c r="F119" s="25" t="s">
        <v>851</v>
      </c>
      <c r="G119" s="24" t="s">
        <v>573</v>
      </c>
      <c r="H119" s="25" t="s">
        <v>700</v>
      </c>
      <c r="I119" s="25" t="s">
        <v>748</v>
      </c>
      <c r="J119" s="25" t="s">
        <v>708</v>
      </c>
      <c r="K119" s="25" t="s">
        <v>556</v>
      </c>
      <c r="L119" s="25" t="s">
        <v>696</v>
      </c>
      <c r="M119" s="25"/>
      <c r="N119" s="25"/>
      <c r="O119" s="25"/>
      <c r="P119" s="25"/>
      <c r="Q119" s="25" t="s">
        <v>635</v>
      </c>
      <c r="R119" s="25" t="s">
        <v>558</v>
      </c>
      <c r="S119" s="25" t="s">
        <v>559</v>
      </c>
      <c r="T119" s="25" t="s">
        <v>852</v>
      </c>
      <c r="U119" s="25"/>
    </row>
    <row r="120" spans="1:21" ht="45" customHeight="1" x14ac:dyDescent="0.25">
      <c r="A120" s="35">
        <v>119</v>
      </c>
      <c r="B120" s="35" t="s">
        <v>133</v>
      </c>
      <c r="C120" s="35" t="s">
        <v>133</v>
      </c>
      <c r="D120" s="36" t="s">
        <v>3</v>
      </c>
      <c r="E120" s="37" t="s">
        <v>853</v>
      </c>
      <c r="F120" s="37" t="s">
        <v>854</v>
      </c>
      <c r="G120" s="35" t="s">
        <v>573</v>
      </c>
      <c r="H120" s="37" t="s">
        <v>553</v>
      </c>
      <c r="I120" s="37" t="s">
        <v>748</v>
      </c>
      <c r="J120" s="37" t="s">
        <v>855</v>
      </c>
      <c r="K120" s="37" t="s">
        <v>556</v>
      </c>
      <c r="L120" s="37" t="s">
        <v>557</v>
      </c>
      <c r="M120" s="37"/>
      <c r="N120" s="37" t="s">
        <v>701</v>
      </c>
      <c r="O120" s="37"/>
      <c r="P120" s="37"/>
      <c r="Q120" s="37"/>
      <c r="R120" s="37" t="s">
        <v>558</v>
      </c>
      <c r="S120" s="37" t="s">
        <v>559</v>
      </c>
      <c r="T120" s="37" t="s">
        <v>856</v>
      </c>
      <c r="U120" s="37"/>
    </row>
    <row r="121" spans="1:21" ht="45" customHeight="1" x14ac:dyDescent="0.25">
      <c r="A121" s="24">
        <v>120</v>
      </c>
      <c r="B121" s="24" t="s">
        <v>134</v>
      </c>
      <c r="C121" s="24" t="s">
        <v>134</v>
      </c>
      <c r="D121" s="36" t="s">
        <v>3</v>
      </c>
      <c r="E121" s="25" t="s">
        <v>550</v>
      </c>
      <c r="F121" s="25" t="s">
        <v>857</v>
      </c>
      <c r="G121" s="24" t="s">
        <v>573</v>
      </c>
      <c r="H121" s="25" t="s">
        <v>553</v>
      </c>
      <c r="I121" s="25" t="s">
        <v>748</v>
      </c>
      <c r="J121" s="25" t="s">
        <v>555</v>
      </c>
      <c r="K121" s="25" t="s">
        <v>556</v>
      </c>
      <c r="L121" s="25" t="s">
        <v>557</v>
      </c>
      <c r="M121" s="25"/>
      <c r="N121" s="25" t="s">
        <v>701</v>
      </c>
      <c r="O121" s="25"/>
      <c r="P121" s="25"/>
      <c r="Q121" s="25"/>
      <c r="R121" s="25" t="s">
        <v>558</v>
      </c>
      <c r="S121" s="25" t="s">
        <v>559</v>
      </c>
      <c r="T121" s="25" t="s">
        <v>858</v>
      </c>
      <c r="U121" s="25"/>
    </row>
    <row r="122" spans="1:21" ht="45" customHeight="1" x14ac:dyDescent="0.25">
      <c r="A122" s="35">
        <v>121</v>
      </c>
      <c r="B122" s="35" t="s">
        <v>135</v>
      </c>
      <c r="C122" s="35" t="s">
        <v>135</v>
      </c>
      <c r="D122" s="36" t="s">
        <v>3</v>
      </c>
      <c r="E122" s="37" t="s">
        <v>769</v>
      </c>
      <c r="F122" s="37" t="s">
        <v>859</v>
      </c>
      <c r="G122" s="38" t="s">
        <v>552</v>
      </c>
      <c r="H122" s="37" t="s">
        <v>553</v>
      </c>
      <c r="I122" s="37" t="s">
        <v>748</v>
      </c>
      <c r="J122" s="37" t="s">
        <v>555</v>
      </c>
      <c r="K122" s="37" t="s">
        <v>556</v>
      </c>
      <c r="L122" s="37" t="s">
        <v>696</v>
      </c>
      <c r="M122" s="37"/>
      <c r="N122" s="37"/>
      <c r="O122" s="37"/>
      <c r="P122" s="37"/>
      <c r="Q122" s="37" t="s">
        <v>635</v>
      </c>
      <c r="R122" s="37" t="s">
        <v>558</v>
      </c>
      <c r="S122" s="37" t="s">
        <v>559</v>
      </c>
      <c r="T122" s="37" t="s">
        <v>860</v>
      </c>
      <c r="U122" s="37" t="s">
        <v>561</v>
      </c>
    </row>
    <row r="123" spans="1:21" ht="45" customHeight="1" x14ac:dyDescent="0.25">
      <c r="A123" s="24">
        <v>122</v>
      </c>
      <c r="B123" s="24" t="s">
        <v>136</v>
      </c>
      <c r="C123" s="24" t="s">
        <v>136</v>
      </c>
      <c r="D123" s="36" t="s">
        <v>3</v>
      </c>
      <c r="E123" s="25" t="s">
        <v>746</v>
      </c>
      <c r="F123" s="25" t="s">
        <v>861</v>
      </c>
      <c r="G123" s="24" t="s">
        <v>573</v>
      </c>
      <c r="H123" s="25" t="s">
        <v>553</v>
      </c>
      <c r="I123" s="25" t="s">
        <v>748</v>
      </c>
      <c r="J123" s="25" t="s">
        <v>555</v>
      </c>
      <c r="K123" s="25" t="s">
        <v>556</v>
      </c>
      <c r="L123" s="25" t="s">
        <v>557</v>
      </c>
      <c r="M123" s="25"/>
      <c r="N123" s="25"/>
      <c r="O123" s="25"/>
      <c r="P123" s="25"/>
      <c r="Q123" s="25"/>
      <c r="R123" s="25" t="s">
        <v>558</v>
      </c>
      <c r="S123" s="25" t="s">
        <v>559</v>
      </c>
      <c r="T123" s="25" t="s">
        <v>862</v>
      </c>
      <c r="U123" s="25"/>
    </row>
    <row r="124" spans="1:21" ht="45" customHeight="1" x14ac:dyDescent="0.25">
      <c r="A124" s="35">
        <v>123</v>
      </c>
      <c r="B124" s="35" t="s">
        <v>137</v>
      </c>
      <c r="C124" s="35" t="s">
        <v>137</v>
      </c>
      <c r="D124" s="36" t="s">
        <v>3</v>
      </c>
      <c r="E124" s="37" t="s">
        <v>769</v>
      </c>
      <c r="F124" s="37" t="s">
        <v>863</v>
      </c>
      <c r="G124" s="35" t="s">
        <v>573</v>
      </c>
      <c r="H124" s="37" t="s">
        <v>553</v>
      </c>
      <c r="I124" s="37" t="s">
        <v>748</v>
      </c>
      <c r="J124" s="37" t="s">
        <v>555</v>
      </c>
      <c r="K124" s="37" t="s">
        <v>556</v>
      </c>
      <c r="L124" s="37" t="s">
        <v>696</v>
      </c>
      <c r="M124" s="37"/>
      <c r="N124" s="37"/>
      <c r="O124" s="37"/>
      <c r="P124" s="37"/>
      <c r="Q124" s="37" t="s">
        <v>635</v>
      </c>
      <c r="R124" s="37" t="s">
        <v>558</v>
      </c>
      <c r="S124" s="37" t="s">
        <v>559</v>
      </c>
      <c r="T124" s="37" t="s">
        <v>864</v>
      </c>
      <c r="U124" s="37"/>
    </row>
    <row r="125" spans="1:21" ht="45" customHeight="1" x14ac:dyDescent="0.25">
      <c r="A125" s="24">
        <v>124</v>
      </c>
      <c r="B125" s="24" t="s">
        <v>138</v>
      </c>
      <c r="C125" s="24" t="s">
        <v>138</v>
      </c>
      <c r="D125" s="36" t="s">
        <v>3</v>
      </c>
      <c r="E125" s="25" t="s">
        <v>774</v>
      </c>
      <c r="F125" s="25" t="s">
        <v>865</v>
      </c>
      <c r="G125" s="26" t="s">
        <v>552</v>
      </c>
      <c r="H125" s="25" t="s">
        <v>553</v>
      </c>
      <c r="I125" s="25" t="s">
        <v>748</v>
      </c>
      <c r="J125" s="25" t="s">
        <v>555</v>
      </c>
      <c r="K125" s="25" t="s">
        <v>556</v>
      </c>
      <c r="L125" s="25" t="s">
        <v>557</v>
      </c>
      <c r="M125" s="25"/>
      <c r="N125" s="25"/>
      <c r="O125" s="25"/>
      <c r="P125" s="25"/>
      <c r="Q125" s="25"/>
      <c r="R125" s="25" t="s">
        <v>558</v>
      </c>
      <c r="S125" s="25" t="s">
        <v>559</v>
      </c>
      <c r="T125" s="25" t="s">
        <v>866</v>
      </c>
      <c r="U125" s="25" t="s">
        <v>561</v>
      </c>
    </row>
    <row r="126" spans="1:21" ht="45" customHeight="1" x14ac:dyDescent="0.25">
      <c r="A126" s="35">
        <v>125</v>
      </c>
      <c r="B126" s="35" t="s">
        <v>139</v>
      </c>
      <c r="C126" s="35" t="s">
        <v>139</v>
      </c>
      <c r="D126" s="36" t="s">
        <v>3</v>
      </c>
      <c r="E126" s="37" t="s">
        <v>774</v>
      </c>
      <c r="F126" s="37" t="s">
        <v>867</v>
      </c>
      <c r="G126" s="35" t="s">
        <v>573</v>
      </c>
      <c r="H126" s="37" t="s">
        <v>553</v>
      </c>
      <c r="I126" s="37" t="s">
        <v>748</v>
      </c>
      <c r="J126" s="37" t="s">
        <v>555</v>
      </c>
      <c r="K126" s="37" t="s">
        <v>556</v>
      </c>
      <c r="L126" s="37" t="s">
        <v>557</v>
      </c>
      <c r="M126" s="37"/>
      <c r="N126" s="37"/>
      <c r="O126" s="37"/>
      <c r="P126" s="37"/>
      <c r="Q126" s="37"/>
      <c r="R126" s="37" t="s">
        <v>558</v>
      </c>
      <c r="S126" s="37" t="s">
        <v>559</v>
      </c>
      <c r="T126" s="37" t="s">
        <v>868</v>
      </c>
      <c r="U126" s="37"/>
    </row>
    <row r="127" spans="1:21" ht="45" customHeight="1" x14ac:dyDescent="0.25">
      <c r="A127" s="24">
        <v>126</v>
      </c>
      <c r="B127" s="24" t="s">
        <v>140</v>
      </c>
      <c r="C127" s="24" t="s">
        <v>140</v>
      </c>
      <c r="D127" s="36" t="s">
        <v>3</v>
      </c>
      <c r="E127" s="25" t="s">
        <v>755</v>
      </c>
      <c r="F127" s="25" t="s">
        <v>869</v>
      </c>
      <c r="G127" s="26" t="s">
        <v>552</v>
      </c>
      <c r="H127" s="25" t="s">
        <v>600</v>
      </c>
      <c r="I127" s="25" t="s">
        <v>748</v>
      </c>
      <c r="J127" s="25" t="s">
        <v>757</v>
      </c>
      <c r="K127" s="25" t="s">
        <v>556</v>
      </c>
      <c r="L127" s="25" t="s">
        <v>557</v>
      </c>
      <c r="M127" s="25"/>
      <c r="N127" s="25"/>
      <c r="O127" s="25"/>
      <c r="P127" s="25"/>
      <c r="Q127" s="25"/>
      <c r="R127" s="25" t="s">
        <v>570</v>
      </c>
      <c r="S127" s="25" t="s">
        <v>559</v>
      </c>
      <c r="T127" s="25" t="s">
        <v>870</v>
      </c>
      <c r="U127" s="25" t="s">
        <v>591</v>
      </c>
    </row>
    <row r="128" spans="1:21" ht="45" customHeight="1" x14ac:dyDescent="0.25">
      <c r="A128" s="35">
        <v>127</v>
      </c>
      <c r="B128" s="35" t="s">
        <v>141</v>
      </c>
      <c r="C128" s="35" t="s">
        <v>141</v>
      </c>
      <c r="D128" s="36" t="s">
        <v>3</v>
      </c>
      <c r="E128" s="37" t="s">
        <v>759</v>
      </c>
      <c r="F128" s="37" t="s">
        <v>871</v>
      </c>
      <c r="G128" s="38" t="s">
        <v>552</v>
      </c>
      <c r="H128" s="37" t="s">
        <v>600</v>
      </c>
      <c r="I128" s="37" t="s">
        <v>748</v>
      </c>
      <c r="J128" s="37" t="s">
        <v>761</v>
      </c>
      <c r="K128" s="37" t="s">
        <v>556</v>
      </c>
      <c r="L128" s="37" t="s">
        <v>557</v>
      </c>
      <c r="M128" s="37"/>
      <c r="N128" s="37"/>
      <c r="O128" s="37"/>
      <c r="P128" s="37"/>
      <c r="Q128" s="37"/>
      <c r="R128" s="37" t="s">
        <v>570</v>
      </c>
      <c r="S128" s="37" t="s">
        <v>559</v>
      </c>
      <c r="T128" s="37" t="s">
        <v>872</v>
      </c>
      <c r="U128" s="37" t="s">
        <v>591</v>
      </c>
    </row>
    <row r="129" spans="1:21" ht="45" customHeight="1" x14ac:dyDescent="0.25">
      <c r="A129" s="24">
        <v>128</v>
      </c>
      <c r="B129" s="24" t="s">
        <v>142</v>
      </c>
      <c r="C129" s="24" t="s">
        <v>142</v>
      </c>
      <c r="D129" s="36" t="s">
        <v>3</v>
      </c>
      <c r="E129" s="25" t="s">
        <v>774</v>
      </c>
      <c r="F129" s="25" t="s">
        <v>873</v>
      </c>
      <c r="G129" s="24" t="s">
        <v>573</v>
      </c>
      <c r="H129" s="25" t="s">
        <v>553</v>
      </c>
      <c r="I129" s="25" t="s">
        <v>748</v>
      </c>
      <c r="J129" s="25" t="s">
        <v>555</v>
      </c>
      <c r="K129" s="25" t="s">
        <v>556</v>
      </c>
      <c r="L129" s="25" t="s">
        <v>557</v>
      </c>
      <c r="M129" s="25"/>
      <c r="N129" s="25"/>
      <c r="O129" s="25"/>
      <c r="P129" s="25"/>
      <c r="Q129" s="25"/>
      <c r="R129" s="25" t="s">
        <v>558</v>
      </c>
      <c r="S129" s="25" t="s">
        <v>559</v>
      </c>
      <c r="T129" s="25" t="s">
        <v>874</v>
      </c>
      <c r="U129" s="25"/>
    </row>
    <row r="130" spans="1:21" ht="45" customHeight="1" x14ac:dyDescent="0.25">
      <c r="A130" s="35">
        <v>129</v>
      </c>
      <c r="B130" s="35" t="s">
        <v>143</v>
      </c>
      <c r="C130" s="35" t="s">
        <v>143</v>
      </c>
      <c r="D130" s="36" t="s">
        <v>3</v>
      </c>
      <c r="E130" s="37" t="s">
        <v>774</v>
      </c>
      <c r="F130" s="37" t="s">
        <v>875</v>
      </c>
      <c r="G130" s="35" t="s">
        <v>573</v>
      </c>
      <c r="H130" s="37" t="s">
        <v>553</v>
      </c>
      <c r="I130" s="37" t="s">
        <v>748</v>
      </c>
      <c r="J130" s="37" t="s">
        <v>555</v>
      </c>
      <c r="K130" s="37" t="s">
        <v>556</v>
      </c>
      <c r="L130" s="37" t="s">
        <v>557</v>
      </c>
      <c r="M130" s="37"/>
      <c r="N130" s="37"/>
      <c r="O130" s="37"/>
      <c r="P130" s="37"/>
      <c r="Q130" s="37"/>
      <c r="R130" s="37" t="s">
        <v>558</v>
      </c>
      <c r="S130" s="37" t="s">
        <v>559</v>
      </c>
      <c r="T130" s="37" t="s">
        <v>876</v>
      </c>
      <c r="U130" s="37"/>
    </row>
    <row r="131" spans="1:21" ht="45" customHeight="1" x14ac:dyDescent="0.25">
      <c r="A131" s="24">
        <v>130</v>
      </c>
      <c r="B131" s="24" t="s">
        <v>144</v>
      </c>
      <c r="C131" s="24" t="s">
        <v>144</v>
      </c>
      <c r="D131" s="36" t="s">
        <v>3</v>
      </c>
      <c r="E131" s="25" t="s">
        <v>774</v>
      </c>
      <c r="F131" s="25" t="s">
        <v>877</v>
      </c>
      <c r="G131" s="24" t="s">
        <v>573</v>
      </c>
      <c r="H131" s="25" t="s">
        <v>553</v>
      </c>
      <c r="I131" s="25" t="s">
        <v>748</v>
      </c>
      <c r="J131" s="25" t="s">
        <v>555</v>
      </c>
      <c r="K131" s="25" t="s">
        <v>556</v>
      </c>
      <c r="L131" s="25" t="s">
        <v>557</v>
      </c>
      <c r="M131" s="25"/>
      <c r="N131" s="25"/>
      <c r="O131" s="25"/>
      <c r="P131" s="25"/>
      <c r="Q131" s="25"/>
      <c r="R131" s="25" t="s">
        <v>558</v>
      </c>
      <c r="S131" s="25" t="s">
        <v>559</v>
      </c>
      <c r="T131" s="25" t="s">
        <v>878</v>
      </c>
      <c r="U131" s="25"/>
    </row>
    <row r="132" spans="1:21" ht="45" customHeight="1" x14ac:dyDescent="0.25">
      <c r="A132" s="35">
        <v>131</v>
      </c>
      <c r="B132" s="35" t="s">
        <v>145</v>
      </c>
      <c r="C132" s="35" t="s">
        <v>145</v>
      </c>
      <c r="D132" s="36" t="s">
        <v>3</v>
      </c>
      <c r="E132" s="37" t="s">
        <v>809</v>
      </c>
      <c r="F132" s="37" t="s">
        <v>879</v>
      </c>
      <c r="G132" s="38" t="s">
        <v>552</v>
      </c>
      <c r="H132" s="37" t="s">
        <v>610</v>
      </c>
      <c r="I132" s="37" t="s">
        <v>748</v>
      </c>
      <c r="J132" s="37" t="s">
        <v>578</v>
      </c>
      <c r="K132" s="37" t="s">
        <v>811</v>
      </c>
      <c r="L132" s="37" t="s">
        <v>567</v>
      </c>
      <c r="M132" s="37"/>
      <c r="N132" s="37" t="s">
        <v>602</v>
      </c>
      <c r="O132" s="37" t="s">
        <v>568</v>
      </c>
      <c r="P132" s="37" t="s">
        <v>569</v>
      </c>
      <c r="Q132" s="37"/>
      <c r="R132" s="37" t="s">
        <v>570</v>
      </c>
      <c r="S132" s="37" t="s">
        <v>559</v>
      </c>
      <c r="T132" s="37" t="s">
        <v>880</v>
      </c>
      <c r="U132" s="37" t="s">
        <v>561</v>
      </c>
    </row>
    <row r="133" spans="1:21" ht="45" customHeight="1" x14ac:dyDescent="0.25">
      <c r="A133" s="24">
        <v>132</v>
      </c>
      <c r="B133" s="24" t="s">
        <v>146</v>
      </c>
      <c r="C133" s="24" t="s">
        <v>146</v>
      </c>
      <c r="D133" s="36" t="s">
        <v>3</v>
      </c>
      <c r="E133" s="25" t="s">
        <v>809</v>
      </c>
      <c r="F133" s="25" t="s">
        <v>881</v>
      </c>
      <c r="G133" s="26" t="s">
        <v>552</v>
      </c>
      <c r="H133" s="25" t="s">
        <v>610</v>
      </c>
      <c r="I133" s="25" t="s">
        <v>748</v>
      </c>
      <c r="J133" s="25" t="s">
        <v>578</v>
      </c>
      <c r="K133" s="25" t="s">
        <v>811</v>
      </c>
      <c r="L133" s="25" t="s">
        <v>567</v>
      </c>
      <c r="M133" s="25"/>
      <c r="N133" s="25" t="s">
        <v>602</v>
      </c>
      <c r="O133" s="25" t="s">
        <v>568</v>
      </c>
      <c r="P133" s="25" t="s">
        <v>569</v>
      </c>
      <c r="Q133" s="25"/>
      <c r="R133" s="25" t="s">
        <v>570</v>
      </c>
      <c r="S133" s="25" t="s">
        <v>559</v>
      </c>
      <c r="T133" s="25" t="s">
        <v>882</v>
      </c>
      <c r="U133" s="25" t="s">
        <v>561</v>
      </c>
    </row>
    <row r="134" spans="1:21" ht="45" customHeight="1" x14ac:dyDescent="0.25">
      <c r="A134" s="35">
        <v>133</v>
      </c>
      <c r="B134" s="35" t="s">
        <v>147</v>
      </c>
      <c r="C134" s="35" t="s">
        <v>147</v>
      </c>
      <c r="D134" s="36" t="s">
        <v>3</v>
      </c>
      <c r="E134" s="37" t="s">
        <v>809</v>
      </c>
      <c r="F134" s="37" t="s">
        <v>883</v>
      </c>
      <c r="G134" s="38" t="s">
        <v>552</v>
      </c>
      <c r="H134" s="37" t="s">
        <v>610</v>
      </c>
      <c r="I134" s="37" t="s">
        <v>748</v>
      </c>
      <c r="J134" s="37" t="s">
        <v>578</v>
      </c>
      <c r="K134" s="37" t="s">
        <v>811</v>
      </c>
      <c r="L134" s="37" t="s">
        <v>567</v>
      </c>
      <c r="M134" s="37"/>
      <c r="N134" s="37" t="s">
        <v>602</v>
      </c>
      <c r="O134" s="37" t="s">
        <v>568</v>
      </c>
      <c r="P134" s="37" t="s">
        <v>569</v>
      </c>
      <c r="Q134" s="37"/>
      <c r="R134" s="37" t="s">
        <v>570</v>
      </c>
      <c r="S134" s="37" t="s">
        <v>559</v>
      </c>
      <c r="T134" s="37" t="s">
        <v>884</v>
      </c>
      <c r="U134" s="37" t="s">
        <v>561</v>
      </c>
    </row>
    <row r="135" spans="1:21" ht="45" customHeight="1" x14ac:dyDescent="0.25">
      <c r="A135" s="24">
        <v>134</v>
      </c>
      <c r="B135" s="24" t="s">
        <v>148</v>
      </c>
      <c r="C135" s="24" t="s">
        <v>148</v>
      </c>
      <c r="D135" s="36" t="s">
        <v>3</v>
      </c>
      <c r="E135" s="25" t="s">
        <v>809</v>
      </c>
      <c r="F135" s="25" t="s">
        <v>885</v>
      </c>
      <c r="G135" s="26" t="s">
        <v>552</v>
      </c>
      <c r="H135" s="25" t="s">
        <v>610</v>
      </c>
      <c r="I135" s="25" t="s">
        <v>748</v>
      </c>
      <c r="J135" s="25" t="s">
        <v>578</v>
      </c>
      <c r="K135" s="25" t="s">
        <v>638</v>
      </c>
      <c r="L135" s="25" t="s">
        <v>567</v>
      </c>
      <c r="M135" s="25"/>
      <c r="N135" s="25" t="s">
        <v>634</v>
      </c>
      <c r="O135" s="25"/>
      <c r="P135" s="25" t="s">
        <v>569</v>
      </c>
      <c r="Q135" s="25"/>
      <c r="R135" s="25" t="s">
        <v>570</v>
      </c>
      <c r="S135" s="25" t="s">
        <v>559</v>
      </c>
      <c r="T135" s="25" t="s">
        <v>886</v>
      </c>
      <c r="U135" s="25" t="s">
        <v>561</v>
      </c>
    </row>
    <row r="136" spans="1:21" ht="45" customHeight="1" x14ac:dyDescent="0.25">
      <c r="A136" s="35">
        <v>135</v>
      </c>
      <c r="B136" s="35" t="s">
        <v>149</v>
      </c>
      <c r="C136" s="35" t="s">
        <v>149</v>
      </c>
      <c r="D136" s="36" t="s">
        <v>3</v>
      </c>
      <c r="E136" s="37" t="s">
        <v>809</v>
      </c>
      <c r="F136" s="37" t="s">
        <v>887</v>
      </c>
      <c r="G136" s="35" t="s">
        <v>573</v>
      </c>
      <c r="H136" s="37" t="s">
        <v>610</v>
      </c>
      <c r="I136" s="37" t="s">
        <v>748</v>
      </c>
      <c r="J136" s="37" t="s">
        <v>578</v>
      </c>
      <c r="K136" s="37" t="s">
        <v>638</v>
      </c>
      <c r="L136" s="37" t="s">
        <v>567</v>
      </c>
      <c r="M136" s="37"/>
      <c r="N136" s="37" t="s">
        <v>634</v>
      </c>
      <c r="O136" s="37"/>
      <c r="P136" s="37" t="s">
        <v>569</v>
      </c>
      <c r="Q136" s="37"/>
      <c r="R136" s="37" t="s">
        <v>570</v>
      </c>
      <c r="S136" s="37" t="s">
        <v>559</v>
      </c>
      <c r="T136" s="37" t="s">
        <v>888</v>
      </c>
      <c r="U136" s="37"/>
    </row>
    <row r="137" spans="1:21" ht="45" customHeight="1" x14ac:dyDescent="0.25">
      <c r="A137" s="24">
        <v>136</v>
      </c>
      <c r="B137" s="24" t="s">
        <v>150</v>
      </c>
      <c r="C137" s="24" t="s">
        <v>150</v>
      </c>
      <c r="D137" s="36" t="s">
        <v>3</v>
      </c>
      <c r="E137" s="25" t="s">
        <v>154</v>
      </c>
      <c r="F137" s="25" t="s">
        <v>889</v>
      </c>
      <c r="G137" s="24" t="s">
        <v>573</v>
      </c>
      <c r="H137" s="25" t="s">
        <v>610</v>
      </c>
      <c r="I137" s="25" t="s">
        <v>748</v>
      </c>
      <c r="J137" s="25" t="s">
        <v>578</v>
      </c>
      <c r="K137" s="25" t="s">
        <v>556</v>
      </c>
      <c r="L137" s="25" t="s">
        <v>557</v>
      </c>
      <c r="M137" s="25"/>
      <c r="N137" s="25"/>
      <c r="O137" s="25"/>
      <c r="P137" s="25"/>
      <c r="Q137" s="25"/>
      <c r="R137" s="25" t="s">
        <v>558</v>
      </c>
      <c r="S137" s="25" t="s">
        <v>559</v>
      </c>
      <c r="T137" s="25" t="s">
        <v>890</v>
      </c>
      <c r="U137" s="25"/>
    </row>
    <row r="138" spans="1:21" ht="45" customHeight="1" x14ac:dyDescent="0.25">
      <c r="A138" s="35">
        <v>137</v>
      </c>
      <c r="B138" s="35" t="s">
        <v>151</v>
      </c>
      <c r="C138" s="35" t="s">
        <v>151</v>
      </c>
      <c r="D138" s="36" t="s">
        <v>3</v>
      </c>
      <c r="E138" s="37" t="s">
        <v>809</v>
      </c>
      <c r="F138" s="37" t="s">
        <v>891</v>
      </c>
      <c r="G138" s="38" t="s">
        <v>552</v>
      </c>
      <c r="H138" s="37" t="s">
        <v>553</v>
      </c>
      <c r="I138" s="37" t="s">
        <v>748</v>
      </c>
      <c r="J138" s="37" t="s">
        <v>555</v>
      </c>
      <c r="K138" s="37" t="s">
        <v>556</v>
      </c>
      <c r="L138" s="37" t="s">
        <v>557</v>
      </c>
      <c r="M138" s="37"/>
      <c r="N138" s="37"/>
      <c r="O138" s="37"/>
      <c r="P138" s="37"/>
      <c r="Q138" s="37"/>
      <c r="R138" s="37" t="s">
        <v>558</v>
      </c>
      <c r="S138" s="37" t="s">
        <v>559</v>
      </c>
      <c r="T138" s="37" t="s">
        <v>892</v>
      </c>
      <c r="U138" s="37" t="s">
        <v>561</v>
      </c>
    </row>
    <row r="139" spans="1:21" ht="45" customHeight="1" x14ac:dyDescent="0.25">
      <c r="A139" s="24">
        <v>138</v>
      </c>
      <c r="B139" s="24" t="s">
        <v>152</v>
      </c>
      <c r="C139" s="24" t="s">
        <v>152</v>
      </c>
      <c r="D139" s="36" t="s">
        <v>3</v>
      </c>
      <c r="E139" s="25" t="s">
        <v>809</v>
      </c>
      <c r="F139" s="25" t="s">
        <v>893</v>
      </c>
      <c r="G139" s="24" t="s">
        <v>573</v>
      </c>
      <c r="H139" s="25" t="s">
        <v>553</v>
      </c>
      <c r="I139" s="25" t="s">
        <v>748</v>
      </c>
      <c r="J139" s="25" t="s">
        <v>555</v>
      </c>
      <c r="K139" s="25" t="s">
        <v>556</v>
      </c>
      <c r="L139" s="25" t="s">
        <v>557</v>
      </c>
      <c r="M139" s="25"/>
      <c r="N139" s="25"/>
      <c r="O139" s="25"/>
      <c r="P139" s="25"/>
      <c r="Q139" s="25"/>
      <c r="R139" s="25" t="s">
        <v>558</v>
      </c>
      <c r="S139" s="25" t="s">
        <v>559</v>
      </c>
      <c r="T139" s="25" t="s">
        <v>894</v>
      </c>
      <c r="U139" s="25"/>
    </row>
    <row r="140" spans="1:21" ht="45" customHeight="1" x14ac:dyDescent="0.25">
      <c r="A140" s="35">
        <v>139</v>
      </c>
      <c r="B140" s="35" t="s">
        <v>153</v>
      </c>
      <c r="C140" s="35" t="s">
        <v>153</v>
      </c>
      <c r="D140" s="36" t="s">
        <v>3</v>
      </c>
      <c r="E140" s="37" t="s">
        <v>550</v>
      </c>
      <c r="F140" s="37" t="s">
        <v>895</v>
      </c>
      <c r="G140" s="35" t="s">
        <v>573</v>
      </c>
      <c r="H140" s="37" t="s">
        <v>553</v>
      </c>
      <c r="I140" s="37" t="s">
        <v>748</v>
      </c>
      <c r="J140" s="37" t="s">
        <v>555</v>
      </c>
      <c r="K140" s="37" t="s">
        <v>556</v>
      </c>
      <c r="L140" s="37" t="s">
        <v>557</v>
      </c>
      <c r="M140" s="37"/>
      <c r="N140" s="37"/>
      <c r="O140" s="37"/>
      <c r="P140" s="37"/>
      <c r="Q140" s="37"/>
      <c r="R140" s="37" t="s">
        <v>558</v>
      </c>
      <c r="S140" s="37" t="s">
        <v>559</v>
      </c>
      <c r="T140" s="37" t="s">
        <v>896</v>
      </c>
      <c r="U140" s="37"/>
    </row>
    <row r="141" spans="1:21" ht="45" customHeight="1" x14ac:dyDescent="0.25">
      <c r="A141" s="24">
        <v>140</v>
      </c>
      <c r="B141" s="24" t="s">
        <v>154</v>
      </c>
      <c r="C141" s="24" t="s">
        <v>154</v>
      </c>
      <c r="D141" s="36" t="s">
        <v>3</v>
      </c>
      <c r="E141" s="25" t="s">
        <v>154</v>
      </c>
      <c r="F141" s="25" t="s">
        <v>897</v>
      </c>
      <c r="G141" s="24" t="s">
        <v>573</v>
      </c>
      <c r="H141" s="25" t="s">
        <v>553</v>
      </c>
      <c r="I141" s="25" t="s">
        <v>748</v>
      </c>
      <c r="J141" s="25" t="s">
        <v>555</v>
      </c>
      <c r="K141" s="25" t="s">
        <v>556</v>
      </c>
      <c r="L141" s="25" t="s">
        <v>557</v>
      </c>
      <c r="M141" s="25"/>
      <c r="N141" s="25"/>
      <c r="O141" s="25"/>
      <c r="P141" s="25"/>
      <c r="Q141" s="25"/>
      <c r="R141" s="25" t="s">
        <v>558</v>
      </c>
      <c r="S141" s="25" t="s">
        <v>559</v>
      </c>
      <c r="T141" s="25" t="s">
        <v>898</v>
      </c>
      <c r="U141" s="25"/>
    </row>
    <row r="142" spans="1:21" ht="45" customHeight="1" x14ac:dyDescent="0.25">
      <c r="A142" s="35">
        <v>141</v>
      </c>
      <c r="B142" s="35" t="s">
        <v>155</v>
      </c>
      <c r="C142" s="35" t="s">
        <v>155</v>
      </c>
      <c r="D142" s="36" t="s">
        <v>3</v>
      </c>
      <c r="E142" s="37" t="s">
        <v>154</v>
      </c>
      <c r="F142" s="37" t="s">
        <v>899</v>
      </c>
      <c r="G142" s="38" t="s">
        <v>552</v>
      </c>
      <c r="H142" s="37" t="s">
        <v>553</v>
      </c>
      <c r="I142" s="37" t="s">
        <v>748</v>
      </c>
      <c r="J142" s="37" t="s">
        <v>555</v>
      </c>
      <c r="K142" s="37" t="s">
        <v>556</v>
      </c>
      <c r="L142" s="37" t="s">
        <v>557</v>
      </c>
      <c r="M142" s="37"/>
      <c r="N142" s="37"/>
      <c r="O142" s="37"/>
      <c r="P142" s="37"/>
      <c r="Q142" s="37"/>
      <c r="R142" s="37" t="s">
        <v>558</v>
      </c>
      <c r="S142" s="37" t="s">
        <v>559</v>
      </c>
      <c r="T142" s="37" t="s">
        <v>900</v>
      </c>
      <c r="U142" s="37" t="s">
        <v>561</v>
      </c>
    </row>
    <row r="143" spans="1:21" ht="45" customHeight="1" x14ac:dyDescent="0.25">
      <c r="A143" s="24">
        <v>142</v>
      </c>
      <c r="B143" s="24" t="s">
        <v>156</v>
      </c>
      <c r="C143" s="24" t="s">
        <v>156</v>
      </c>
      <c r="D143" s="36" t="s">
        <v>3</v>
      </c>
      <c r="E143" s="25" t="s">
        <v>154</v>
      </c>
      <c r="F143" s="25" t="s">
        <v>901</v>
      </c>
      <c r="G143" s="26" t="s">
        <v>552</v>
      </c>
      <c r="H143" s="25" t="s">
        <v>553</v>
      </c>
      <c r="I143" s="25" t="s">
        <v>748</v>
      </c>
      <c r="J143" s="25" t="s">
        <v>555</v>
      </c>
      <c r="K143" s="25" t="s">
        <v>556</v>
      </c>
      <c r="L143" s="25" t="s">
        <v>557</v>
      </c>
      <c r="M143" s="25"/>
      <c r="N143" s="25"/>
      <c r="O143" s="25"/>
      <c r="P143" s="25"/>
      <c r="Q143" s="25"/>
      <c r="R143" s="25" t="s">
        <v>558</v>
      </c>
      <c r="S143" s="25" t="s">
        <v>559</v>
      </c>
      <c r="T143" s="25" t="s">
        <v>902</v>
      </c>
      <c r="U143" s="25" t="s">
        <v>561</v>
      </c>
    </row>
    <row r="144" spans="1:21" ht="45" customHeight="1" x14ac:dyDescent="0.25">
      <c r="A144" s="35">
        <v>143</v>
      </c>
      <c r="B144" s="35" t="s">
        <v>157</v>
      </c>
      <c r="C144" s="35" t="s">
        <v>157</v>
      </c>
      <c r="D144" s="36" t="s">
        <v>3</v>
      </c>
      <c r="E144" s="37" t="s">
        <v>154</v>
      </c>
      <c r="F144" s="37" t="s">
        <v>903</v>
      </c>
      <c r="G144" s="38" t="s">
        <v>552</v>
      </c>
      <c r="H144" s="37" t="s">
        <v>553</v>
      </c>
      <c r="I144" s="37" t="s">
        <v>748</v>
      </c>
      <c r="J144" s="37" t="s">
        <v>555</v>
      </c>
      <c r="K144" s="37" t="s">
        <v>556</v>
      </c>
      <c r="L144" s="37" t="s">
        <v>557</v>
      </c>
      <c r="M144" s="37"/>
      <c r="N144" s="37"/>
      <c r="O144" s="37"/>
      <c r="P144" s="37"/>
      <c r="Q144" s="37"/>
      <c r="R144" s="37" t="s">
        <v>558</v>
      </c>
      <c r="S144" s="37" t="s">
        <v>559</v>
      </c>
      <c r="T144" s="37" t="s">
        <v>904</v>
      </c>
      <c r="U144" s="37" t="s">
        <v>561</v>
      </c>
    </row>
    <row r="145" spans="1:21" ht="45" customHeight="1" x14ac:dyDescent="0.25">
      <c r="A145" s="24">
        <v>144</v>
      </c>
      <c r="B145" s="24" t="s">
        <v>158</v>
      </c>
      <c r="C145" s="24" t="s">
        <v>158</v>
      </c>
      <c r="D145" s="39" t="s">
        <v>4</v>
      </c>
      <c r="E145" s="25" t="s">
        <v>550</v>
      </c>
      <c r="F145" s="25" t="s">
        <v>905</v>
      </c>
      <c r="G145" s="24" t="s">
        <v>573</v>
      </c>
      <c r="H145" s="25" t="s">
        <v>553</v>
      </c>
      <c r="I145" s="25" t="s">
        <v>906</v>
      </c>
      <c r="J145" s="25" t="s">
        <v>555</v>
      </c>
      <c r="K145" s="25" t="s">
        <v>907</v>
      </c>
      <c r="L145" s="25" t="s">
        <v>557</v>
      </c>
      <c r="M145" s="25"/>
      <c r="N145" s="25"/>
      <c r="O145" s="25"/>
      <c r="P145" s="25"/>
      <c r="Q145" s="25"/>
      <c r="R145" s="25" t="s">
        <v>558</v>
      </c>
      <c r="S145" s="25" t="s">
        <v>559</v>
      </c>
      <c r="T145" s="25" t="s">
        <v>908</v>
      </c>
      <c r="U145" s="25"/>
    </row>
    <row r="146" spans="1:21" ht="45" customHeight="1" x14ac:dyDescent="0.25">
      <c r="A146" s="40">
        <v>145</v>
      </c>
      <c r="B146" s="40" t="s">
        <v>159</v>
      </c>
      <c r="C146" s="40" t="s">
        <v>159</v>
      </c>
      <c r="D146" s="39" t="s">
        <v>4</v>
      </c>
      <c r="E146" s="41" t="s">
        <v>550</v>
      </c>
      <c r="F146" s="41" t="s">
        <v>909</v>
      </c>
      <c r="G146" s="40" t="s">
        <v>573</v>
      </c>
      <c r="H146" s="41" t="s">
        <v>553</v>
      </c>
      <c r="I146" s="41" t="s">
        <v>906</v>
      </c>
      <c r="J146" s="41" t="s">
        <v>555</v>
      </c>
      <c r="K146" s="41" t="s">
        <v>907</v>
      </c>
      <c r="L146" s="41" t="s">
        <v>557</v>
      </c>
      <c r="M146" s="41"/>
      <c r="N146" s="41"/>
      <c r="O146" s="41"/>
      <c r="P146" s="41"/>
      <c r="Q146" s="41"/>
      <c r="R146" s="41" t="s">
        <v>558</v>
      </c>
      <c r="S146" s="41" t="s">
        <v>559</v>
      </c>
      <c r="T146" s="41" t="s">
        <v>910</v>
      </c>
      <c r="U146" s="41"/>
    </row>
    <row r="147" spans="1:21" ht="45" customHeight="1" x14ac:dyDescent="0.25">
      <c r="A147" s="24">
        <v>146</v>
      </c>
      <c r="B147" s="24" t="s">
        <v>160</v>
      </c>
      <c r="C147" s="24" t="s">
        <v>160</v>
      </c>
      <c r="D147" s="39" t="s">
        <v>4</v>
      </c>
      <c r="E147" s="25" t="s">
        <v>550</v>
      </c>
      <c r="F147" s="25" t="s">
        <v>911</v>
      </c>
      <c r="G147" s="24" t="s">
        <v>573</v>
      </c>
      <c r="H147" s="25" t="s">
        <v>553</v>
      </c>
      <c r="I147" s="25" t="s">
        <v>906</v>
      </c>
      <c r="J147" s="25" t="s">
        <v>555</v>
      </c>
      <c r="K147" s="25" t="s">
        <v>907</v>
      </c>
      <c r="L147" s="25" t="s">
        <v>557</v>
      </c>
      <c r="M147" s="25"/>
      <c r="N147" s="25"/>
      <c r="O147" s="25"/>
      <c r="P147" s="25"/>
      <c r="Q147" s="25"/>
      <c r="R147" s="25" t="s">
        <v>558</v>
      </c>
      <c r="S147" s="25" t="s">
        <v>559</v>
      </c>
      <c r="T147" s="25" t="s">
        <v>912</v>
      </c>
      <c r="U147" s="25"/>
    </row>
    <row r="148" spans="1:21" ht="45" customHeight="1" x14ac:dyDescent="0.25">
      <c r="A148" s="40">
        <v>147</v>
      </c>
      <c r="B148" s="40" t="s">
        <v>161</v>
      </c>
      <c r="C148" s="40" t="s">
        <v>161</v>
      </c>
      <c r="D148" s="39" t="s">
        <v>4</v>
      </c>
      <c r="E148" s="41" t="s">
        <v>550</v>
      </c>
      <c r="F148" s="41" t="s">
        <v>913</v>
      </c>
      <c r="G148" s="40" t="s">
        <v>573</v>
      </c>
      <c r="H148" s="41" t="s">
        <v>553</v>
      </c>
      <c r="I148" s="41" t="s">
        <v>906</v>
      </c>
      <c r="J148" s="41" t="s">
        <v>555</v>
      </c>
      <c r="K148" s="41" t="s">
        <v>907</v>
      </c>
      <c r="L148" s="41" t="s">
        <v>557</v>
      </c>
      <c r="M148" s="41"/>
      <c r="N148" s="41"/>
      <c r="O148" s="41"/>
      <c r="P148" s="41"/>
      <c r="Q148" s="41"/>
      <c r="R148" s="41" t="s">
        <v>558</v>
      </c>
      <c r="S148" s="41" t="s">
        <v>559</v>
      </c>
      <c r="T148" s="41" t="s">
        <v>914</v>
      </c>
      <c r="U148" s="41"/>
    </row>
    <row r="149" spans="1:21" ht="45" customHeight="1" x14ac:dyDescent="0.25">
      <c r="A149" s="24">
        <v>148</v>
      </c>
      <c r="B149" s="24" t="s">
        <v>162</v>
      </c>
      <c r="C149" s="24" t="s">
        <v>162</v>
      </c>
      <c r="D149" s="39" t="s">
        <v>4</v>
      </c>
      <c r="E149" s="25" t="s">
        <v>550</v>
      </c>
      <c r="F149" s="25" t="s">
        <v>915</v>
      </c>
      <c r="G149" s="24" t="s">
        <v>573</v>
      </c>
      <c r="H149" s="25" t="s">
        <v>553</v>
      </c>
      <c r="I149" s="25" t="s">
        <v>906</v>
      </c>
      <c r="J149" s="25" t="s">
        <v>555</v>
      </c>
      <c r="K149" s="25" t="s">
        <v>907</v>
      </c>
      <c r="L149" s="25" t="s">
        <v>557</v>
      </c>
      <c r="M149" s="25"/>
      <c r="N149" s="25"/>
      <c r="O149" s="25"/>
      <c r="P149" s="25"/>
      <c r="Q149" s="25"/>
      <c r="R149" s="25" t="s">
        <v>558</v>
      </c>
      <c r="S149" s="25" t="s">
        <v>559</v>
      </c>
      <c r="T149" s="25" t="s">
        <v>916</v>
      </c>
      <c r="U149" s="25"/>
    </row>
    <row r="150" spans="1:21" ht="45" customHeight="1" x14ac:dyDescent="0.25">
      <c r="A150" s="40">
        <v>149</v>
      </c>
      <c r="B150" s="40" t="s">
        <v>163</v>
      </c>
      <c r="C150" s="40" t="s">
        <v>163</v>
      </c>
      <c r="D150" s="39" t="s">
        <v>4</v>
      </c>
      <c r="E150" s="41" t="s">
        <v>550</v>
      </c>
      <c r="F150" s="41" t="s">
        <v>917</v>
      </c>
      <c r="G150" s="40" t="s">
        <v>573</v>
      </c>
      <c r="H150" s="41" t="s">
        <v>553</v>
      </c>
      <c r="I150" s="41" t="s">
        <v>906</v>
      </c>
      <c r="J150" s="41" t="s">
        <v>555</v>
      </c>
      <c r="K150" s="41" t="s">
        <v>907</v>
      </c>
      <c r="L150" s="41" t="s">
        <v>557</v>
      </c>
      <c r="M150" s="41"/>
      <c r="N150" s="41"/>
      <c r="O150" s="41"/>
      <c r="P150" s="41"/>
      <c r="Q150" s="41"/>
      <c r="R150" s="41" t="s">
        <v>558</v>
      </c>
      <c r="S150" s="41" t="s">
        <v>559</v>
      </c>
      <c r="T150" s="41" t="s">
        <v>918</v>
      </c>
      <c r="U150" s="41"/>
    </row>
    <row r="151" spans="1:21" ht="45" customHeight="1" x14ac:dyDescent="0.25">
      <c r="A151" s="24">
        <v>150</v>
      </c>
      <c r="B151" s="24" t="s">
        <v>164</v>
      </c>
      <c r="C151" s="24" t="s">
        <v>164</v>
      </c>
      <c r="D151" s="39" t="s">
        <v>4</v>
      </c>
      <c r="E151" s="25" t="s">
        <v>550</v>
      </c>
      <c r="F151" s="25" t="s">
        <v>919</v>
      </c>
      <c r="G151" s="24" t="s">
        <v>573</v>
      </c>
      <c r="H151" s="25" t="s">
        <v>553</v>
      </c>
      <c r="I151" s="25" t="s">
        <v>906</v>
      </c>
      <c r="J151" s="25" t="s">
        <v>555</v>
      </c>
      <c r="K151" s="25" t="s">
        <v>907</v>
      </c>
      <c r="L151" s="25" t="s">
        <v>557</v>
      </c>
      <c r="M151" s="25"/>
      <c r="N151" s="25"/>
      <c r="O151" s="25"/>
      <c r="P151" s="25"/>
      <c r="Q151" s="25"/>
      <c r="R151" s="25" t="s">
        <v>558</v>
      </c>
      <c r="S151" s="25" t="s">
        <v>559</v>
      </c>
      <c r="T151" s="25" t="s">
        <v>920</v>
      </c>
      <c r="U151" s="25"/>
    </row>
    <row r="152" spans="1:21" ht="45" customHeight="1" x14ac:dyDescent="0.25">
      <c r="A152" s="40">
        <v>151</v>
      </c>
      <c r="B152" s="40" t="s">
        <v>165</v>
      </c>
      <c r="C152" s="40" t="s">
        <v>165</v>
      </c>
      <c r="D152" s="39" t="s">
        <v>4</v>
      </c>
      <c r="E152" s="41" t="s">
        <v>550</v>
      </c>
      <c r="F152" s="41" t="s">
        <v>921</v>
      </c>
      <c r="G152" s="40" t="s">
        <v>573</v>
      </c>
      <c r="H152" s="41" t="s">
        <v>553</v>
      </c>
      <c r="I152" s="41" t="s">
        <v>906</v>
      </c>
      <c r="J152" s="41" t="s">
        <v>555</v>
      </c>
      <c r="K152" s="41" t="s">
        <v>907</v>
      </c>
      <c r="L152" s="41" t="s">
        <v>557</v>
      </c>
      <c r="M152" s="41"/>
      <c r="N152" s="41"/>
      <c r="O152" s="41"/>
      <c r="P152" s="41"/>
      <c r="Q152" s="41"/>
      <c r="R152" s="41" t="s">
        <v>558</v>
      </c>
      <c r="S152" s="41" t="s">
        <v>559</v>
      </c>
      <c r="T152" s="41" t="s">
        <v>922</v>
      </c>
      <c r="U152" s="41"/>
    </row>
    <row r="153" spans="1:21" ht="45" customHeight="1" x14ac:dyDescent="0.25">
      <c r="A153" s="24">
        <v>152</v>
      </c>
      <c r="B153" s="24" t="s">
        <v>166</v>
      </c>
      <c r="C153" s="24" t="s">
        <v>166</v>
      </c>
      <c r="D153" s="39" t="s">
        <v>4</v>
      </c>
      <c r="E153" s="25" t="s">
        <v>550</v>
      </c>
      <c r="F153" s="25" t="s">
        <v>923</v>
      </c>
      <c r="G153" s="24" t="s">
        <v>573</v>
      </c>
      <c r="H153" s="25" t="s">
        <v>553</v>
      </c>
      <c r="I153" s="25" t="s">
        <v>906</v>
      </c>
      <c r="J153" s="25" t="s">
        <v>555</v>
      </c>
      <c r="K153" s="25" t="s">
        <v>907</v>
      </c>
      <c r="L153" s="25" t="s">
        <v>557</v>
      </c>
      <c r="M153" s="25"/>
      <c r="N153" s="25"/>
      <c r="O153" s="25"/>
      <c r="P153" s="25"/>
      <c r="Q153" s="25"/>
      <c r="R153" s="25" t="s">
        <v>558</v>
      </c>
      <c r="S153" s="25" t="s">
        <v>559</v>
      </c>
      <c r="T153" s="25" t="s">
        <v>924</v>
      </c>
      <c r="U153" s="25"/>
    </row>
    <row r="154" spans="1:21" ht="45" customHeight="1" x14ac:dyDescent="0.25">
      <c r="A154" s="40">
        <v>153</v>
      </c>
      <c r="B154" s="40" t="s">
        <v>167</v>
      </c>
      <c r="C154" s="40" t="s">
        <v>167</v>
      </c>
      <c r="D154" s="39" t="s">
        <v>4</v>
      </c>
      <c r="E154" s="41" t="s">
        <v>550</v>
      </c>
      <c r="F154" s="41" t="s">
        <v>925</v>
      </c>
      <c r="G154" s="40" t="s">
        <v>573</v>
      </c>
      <c r="H154" s="41" t="s">
        <v>553</v>
      </c>
      <c r="I154" s="41" t="s">
        <v>906</v>
      </c>
      <c r="J154" s="41" t="s">
        <v>555</v>
      </c>
      <c r="K154" s="41" t="s">
        <v>907</v>
      </c>
      <c r="L154" s="41" t="s">
        <v>557</v>
      </c>
      <c r="M154" s="41"/>
      <c r="N154" s="41"/>
      <c r="O154" s="41"/>
      <c r="P154" s="41"/>
      <c r="Q154" s="41"/>
      <c r="R154" s="41" t="s">
        <v>558</v>
      </c>
      <c r="S154" s="41" t="s">
        <v>559</v>
      </c>
      <c r="T154" s="41" t="s">
        <v>926</v>
      </c>
      <c r="U154" s="41"/>
    </row>
    <row r="155" spans="1:21" ht="45" customHeight="1" x14ac:dyDescent="0.25">
      <c r="A155" s="24">
        <v>154</v>
      </c>
      <c r="B155" s="24" t="s">
        <v>168</v>
      </c>
      <c r="C155" s="24" t="s">
        <v>168</v>
      </c>
      <c r="D155" s="39" t="s">
        <v>4</v>
      </c>
      <c r="E155" s="25" t="s">
        <v>550</v>
      </c>
      <c r="F155" s="25" t="s">
        <v>927</v>
      </c>
      <c r="G155" s="24" t="s">
        <v>573</v>
      </c>
      <c r="H155" s="25" t="s">
        <v>553</v>
      </c>
      <c r="I155" s="25" t="s">
        <v>906</v>
      </c>
      <c r="J155" s="25" t="s">
        <v>555</v>
      </c>
      <c r="K155" s="25" t="s">
        <v>907</v>
      </c>
      <c r="L155" s="25" t="s">
        <v>557</v>
      </c>
      <c r="M155" s="25"/>
      <c r="N155" s="25"/>
      <c r="O155" s="25"/>
      <c r="P155" s="25"/>
      <c r="Q155" s="25"/>
      <c r="R155" s="25" t="s">
        <v>558</v>
      </c>
      <c r="S155" s="25" t="s">
        <v>559</v>
      </c>
      <c r="T155" s="25" t="s">
        <v>928</v>
      </c>
      <c r="U155" s="25"/>
    </row>
    <row r="156" spans="1:21" ht="45" customHeight="1" x14ac:dyDescent="0.25">
      <c r="A156" s="40">
        <v>155</v>
      </c>
      <c r="B156" s="40" t="s">
        <v>169</v>
      </c>
      <c r="C156" s="40" t="s">
        <v>169</v>
      </c>
      <c r="D156" s="39" t="s">
        <v>4</v>
      </c>
      <c r="E156" s="41" t="s">
        <v>550</v>
      </c>
      <c r="F156" s="41" t="s">
        <v>929</v>
      </c>
      <c r="G156" s="40" t="s">
        <v>573</v>
      </c>
      <c r="H156" s="41" t="s">
        <v>553</v>
      </c>
      <c r="I156" s="41" t="s">
        <v>906</v>
      </c>
      <c r="J156" s="41" t="s">
        <v>555</v>
      </c>
      <c r="K156" s="41" t="s">
        <v>907</v>
      </c>
      <c r="L156" s="41" t="s">
        <v>557</v>
      </c>
      <c r="M156" s="41"/>
      <c r="N156" s="41"/>
      <c r="O156" s="41"/>
      <c r="P156" s="41"/>
      <c r="Q156" s="41"/>
      <c r="R156" s="41" t="s">
        <v>558</v>
      </c>
      <c r="S156" s="41" t="s">
        <v>559</v>
      </c>
      <c r="T156" s="41" t="s">
        <v>930</v>
      </c>
      <c r="U156" s="41"/>
    </row>
    <row r="157" spans="1:21" ht="45" customHeight="1" x14ac:dyDescent="0.25">
      <c r="A157" s="24">
        <v>156</v>
      </c>
      <c r="B157" s="24" t="s">
        <v>170</v>
      </c>
      <c r="C157" s="24" t="s">
        <v>170</v>
      </c>
      <c r="D157" s="39" t="s">
        <v>4</v>
      </c>
      <c r="E157" s="25" t="s">
        <v>550</v>
      </c>
      <c r="F157" s="25" t="s">
        <v>931</v>
      </c>
      <c r="G157" s="24" t="s">
        <v>573</v>
      </c>
      <c r="H157" s="25" t="s">
        <v>553</v>
      </c>
      <c r="I157" s="25" t="s">
        <v>906</v>
      </c>
      <c r="J157" s="25" t="s">
        <v>555</v>
      </c>
      <c r="K157" s="25" t="s">
        <v>907</v>
      </c>
      <c r="L157" s="25" t="s">
        <v>557</v>
      </c>
      <c r="M157" s="25"/>
      <c r="N157" s="25"/>
      <c r="O157" s="25"/>
      <c r="P157" s="25"/>
      <c r="Q157" s="25"/>
      <c r="R157" s="25" t="s">
        <v>558</v>
      </c>
      <c r="S157" s="25" t="s">
        <v>559</v>
      </c>
      <c r="T157" s="25" t="s">
        <v>932</v>
      </c>
      <c r="U157" s="25"/>
    </row>
    <row r="158" spans="1:21" ht="45" customHeight="1" x14ac:dyDescent="0.25">
      <c r="A158" s="40">
        <v>157</v>
      </c>
      <c r="B158" s="40" t="s">
        <v>171</v>
      </c>
      <c r="C158" s="40" t="s">
        <v>171</v>
      </c>
      <c r="D158" s="39" t="s">
        <v>4</v>
      </c>
      <c r="E158" s="41" t="s">
        <v>550</v>
      </c>
      <c r="F158" s="41" t="s">
        <v>933</v>
      </c>
      <c r="G158" s="40" t="s">
        <v>573</v>
      </c>
      <c r="H158" s="41" t="s">
        <v>553</v>
      </c>
      <c r="I158" s="41" t="s">
        <v>906</v>
      </c>
      <c r="J158" s="41" t="s">
        <v>555</v>
      </c>
      <c r="K158" s="41" t="s">
        <v>907</v>
      </c>
      <c r="L158" s="41" t="s">
        <v>557</v>
      </c>
      <c r="M158" s="41"/>
      <c r="N158" s="41"/>
      <c r="O158" s="41"/>
      <c r="P158" s="41"/>
      <c r="Q158" s="41"/>
      <c r="R158" s="41" t="s">
        <v>558</v>
      </c>
      <c r="S158" s="41" t="s">
        <v>559</v>
      </c>
      <c r="T158" s="41" t="s">
        <v>934</v>
      </c>
      <c r="U158" s="41"/>
    </row>
    <row r="159" spans="1:21" ht="45" customHeight="1" x14ac:dyDescent="0.25">
      <c r="A159" s="24">
        <v>158</v>
      </c>
      <c r="B159" s="24" t="s">
        <v>172</v>
      </c>
      <c r="C159" s="24" t="s">
        <v>172</v>
      </c>
      <c r="D159" s="39" t="s">
        <v>4</v>
      </c>
      <c r="E159" s="25" t="s">
        <v>550</v>
      </c>
      <c r="F159" s="25" t="s">
        <v>935</v>
      </c>
      <c r="G159" s="24" t="s">
        <v>573</v>
      </c>
      <c r="H159" s="25" t="s">
        <v>553</v>
      </c>
      <c r="I159" s="25" t="s">
        <v>906</v>
      </c>
      <c r="J159" s="25" t="s">
        <v>555</v>
      </c>
      <c r="K159" s="25" t="s">
        <v>907</v>
      </c>
      <c r="L159" s="25" t="s">
        <v>557</v>
      </c>
      <c r="M159" s="25"/>
      <c r="N159" s="25"/>
      <c r="O159" s="25"/>
      <c r="P159" s="25"/>
      <c r="Q159" s="25"/>
      <c r="R159" s="25" t="s">
        <v>558</v>
      </c>
      <c r="S159" s="25" t="s">
        <v>559</v>
      </c>
      <c r="T159" s="25" t="s">
        <v>936</v>
      </c>
      <c r="U159" s="25"/>
    </row>
    <row r="160" spans="1:21" ht="45" customHeight="1" x14ac:dyDescent="0.25">
      <c r="A160" s="40">
        <v>159</v>
      </c>
      <c r="B160" s="40" t="s">
        <v>173</v>
      </c>
      <c r="C160" s="40" t="s">
        <v>173</v>
      </c>
      <c r="D160" s="39" t="s">
        <v>4</v>
      </c>
      <c r="E160" s="41" t="s">
        <v>550</v>
      </c>
      <c r="F160" s="41" t="s">
        <v>937</v>
      </c>
      <c r="G160" s="40" t="s">
        <v>573</v>
      </c>
      <c r="H160" s="41" t="s">
        <v>553</v>
      </c>
      <c r="I160" s="41" t="s">
        <v>906</v>
      </c>
      <c r="J160" s="41" t="s">
        <v>555</v>
      </c>
      <c r="K160" s="41" t="s">
        <v>907</v>
      </c>
      <c r="L160" s="41" t="s">
        <v>557</v>
      </c>
      <c r="M160" s="41"/>
      <c r="N160" s="41"/>
      <c r="O160" s="41"/>
      <c r="P160" s="41"/>
      <c r="Q160" s="41"/>
      <c r="R160" s="41" t="s">
        <v>558</v>
      </c>
      <c r="S160" s="41" t="s">
        <v>559</v>
      </c>
      <c r="T160" s="41" t="s">
        <v>938</v>
      </c>
      <c r="U160" s="41"/>
    </row>
    <row r="161" spans="1:21" ht="45" customHeight="1" x14ac:dyDescent="0.25">
      <c r="A161" s="24">
        <v>160</v>
      </c>
      <c r="B161" s="24" t="s">
        <v>174</v>
      </c>
      <c r="C161" s="24" t="s">
        <v>174</v>
      </c>
      <c r="D161" s="39" t="s">
        <v>4</v>
      </c>
      <c r="E161" s="25" t="s">
        <v>550</v>
      </c>
      <c r="F161" s="25" t="s">
        <v>939</v>
      </c>
      <c r="G161" s="24" t="s">
        <v>573</v>
      </c>
      <c r="H161" s="25" t="s">
        <v>553</v>
      </c>
      <c r="I161" s="25" t="s">
        <v>906</v>
      </c>
      <c r="J161" s="25" t="s">
        <v>555</v>
      </c>
      <c r="K161" s="25" t="s">
        <v>907</v>
      </c>
      <c r="L161" s="25" t="s">
        <v>557</v>
      </c>
      <c r="M161" s="25"/>
      <c r="N161" s="25"/>
      <c r="O161" s="25"/>
      <c r="P161" s="25"/>
      <c r="Q161" s="25"/>
      <c r="R161" s="25" t="s">
        <v>558</v>
      </c>
      <c r="S161" s="25" t="s">
        <v>559</v>
      </c>
      <c r="T161" s="25" t="s">
        <v>940</v>
      </c>
      <c r="U161" s="25"/>
    </row>
    <row r="162" spans="1:21" ht="45" customHeight="1" x14ac:dyDescent="0.25">
      <c r="A162" s="40">
        <v>161</v>
      </c>
      <c r="B162" s="40" t="s">
        <v>175</v>
      </c>
      <c r="C162" s="40" t="s">
        <v>175</v>
      </c>
      <c r="D162" s="39" t="s">
        <v>4</v>
      </c>
      <c r="E162" s="41" t="s">
        <v>550</v>
      </c>
      <c r="F162" s="41" t="s">
        <v>941</v>
      </c>
      <c r="G162" s="40" t="s">
        <v>573</v>
      </c>
      <c r="H162" s="41" t="s">
        <v>553</v>
      </c>
      <c r="I162" s="41" t="s">
        <v>906</v>
      </c>
      <c r="J162" s="41" t="s">
        <v>555</v>
      </c>
      <c r="K162" s="41" t="s">
        <v>907</v>
      </c>
      <c r="L162" s="41" t="s">
        <v>557</v>
      </c>
      <c r="M162" s="41"/>
      <c r="N162" s="41"/>
      <c r="O162" s="41"/>
      <c r="P162" s="41"/>
      <c r="Q162" s="41"/>
      <c r="R162" s="41" t="s">
        <v>558</v>
      </c>
      <c r="S162" s="41" t="s">
        <v>559</v>
      </c>
      <c r="T162" s="41" t="s">
        <v>942</v>
      </c>
      <c r="U162" s="41"/>
    </row>
    <row r="163" spans="1:21" ht="45" customHeight="1" x14ac:dyDescent="0.25">
      <c r="A163" s="24">
        <v>162</v>
      </c>
      <c r="B163" s="24" t="s">
        <v>176</v>
      </c>
      <c r="C163" s="24" t="s">
        <v>176</v>
      </c>
      <c r="D163" s="39" t="s">
        <v>4</v>
      </c>
      <c r="E163" s="25" t="s">
        <v>550</v>
      </c>
      <c r="F163" s="25" t="s">
        <v>943</v>
      </c>
      <c r="G163" s="24" t="s">
        <v>573</v>
      </c>
      <c r="H163" s="25" t="s">
        <v>553</v>
      </c>
      <c r="I163" s="25" t="s">
        <v>906</v>
      </c>
      <c r="J163" s="25" t="s">
        <v>555</v>
      </c>
      <c r="K163" s="25" t="s">
        <v>907</v>
      </c>
      <c r="L163" s="25" t="s">
        <v>557</v>
      </c>
      <c r="M163" s="25"/>
      <c r="N163" s="25"/>
      <c r="O163" s="25"/>
      <c r="P163" s="25"/>
      <c r="Q163" s="25"/>
      <c r="R163" s="25" t="s">
        <v>558</v>
      </c>
      <c r="S163" s="25" t="s">
        <v>559</v>
      </c>
      <c r="T163" s="25" t="s">
        <v>944</v>
      </c>
      <c r="U163" s="25"/>
    </row>
    <row r="164" spans="1:21" ht="45" customHeight="1" x14ac:dyDescent="0.25">
      <c r="A164" s="40">
        <v>163</v>
      </c>
      <c r="B164" s="40" t="s">
        <v>177</v>
      </c>
      <c r="C164" s="40" t="s">
        <v>177</v>
      </c>
      <c r="D164" s="39" t="s">
        <v>4</v>
      </c>
      <c r="E164" s="41" t="s">
        <v>550</v>
      </c>
      <c r="F164" s="41" t="s">
        <v>945</v>
      </c>
      <c r="G164" s="40" t="s">
        <v>573</v>
      </c>
      <c r="H164" s="41" t="s">
        <v>553</v>
      </c>
      <c r="I164" s="41" t="s">
        <v>906</v>
      </c>
      <c r="J164" s="41" t="s">
        <v>555</v>
      </c>
      <c r="K164" s="41" t="s">
        <v>907</v>
      </c>
      <c r="L164" s="41" t="s">
        <v>557</v>
      </c>
      <c r="M164" s="41"/>
      <c r="N164" s="41"/>
      <c r="O164" s="41"/>
      <c r="P164" s="41"/>
      <c r="Q164" s="41"/>
      <c r="R164" s="41" t="s">
        <v>558</v>
      </c>
      <c r="S164" s="41" t="s">
        <v>559</v>
      </c>
      <c r="T164" s="41" t="s">
        <v>946</v>
      </c>
      <c r="U164" s="41"/>
    </row>
    <row r="165" spans="1:21" ht="45" customHeight="1" x14ac:dyDescent="0.25">
      <c r="A165" s="24">
        <v>164</v>
      </c>
      <c r="B165" s="24" t="s">
        <v>178</v>
      </c>
      <c r="C165" s="24" t="s">
        <v>178</v>
      </c>
      <c r="D165" s="39" t="s">
        <v>4</v>
      </c>
      <c r="E165" s="25" t="s">
        <v>550</v>
      </c>
      <c r="F165" s="25" t="s">
        <v>947</v>
      </c>
      <c r="G165" s="24" t="s">
        <v>573</v>
      </c>
      <c r="H165" s="25" t="s">
        <v>553</v>
      </c>
      <c r="I165" s="25" t="s">
        <v>906</v>
      </c>
      <c r="J165" s="25" t="s">
        <v>555</v>
      </c>
      <c r="K165" s="25" t="s">
        <v>907</v>
      </c>
      <c r="L165" s="25" t="s">
        <v>557</v>
      </c>
      <c r="M165" s="25"/>
      <c r="N165" s="25"/>
      <c r="O165" s="25"/>
      <c r="P165" s="25"/>
      <c r="Q165" s="25"/>
      <c r="R165" s="25" t="s">
        <v>558</v>
      </c>
      <c r="S165" s="25" t="s">
        <v>559</v>
      </c>
      <c r="T165" s="25" t="s">
        <v>948</v>
      </c>
      <c r="U165" s="25"/>
    </row>
    <row r="166" spans="1:21" ht="45" customHeight="1" x14ac:dyDescent="0.25">
      <c r="A166" s="40">
        <v>165</v>
      </c>
      <c r="B166" s="40" t="s">
        <v>179</v>
      </c>
      <c r="C166" s="40" t="s">
        <v>179</v>
      </c>
      <c r="D166" s="39" t="s">
        <v>4</v>
      </c>
      <c r="E166" s="41" t="s">
        <v>550</v>
      </c>
      <c r="F166" s="41" t="s">
        <v>949</v>
      </c>
      <c r="G166" s="40" t="s">
        <v>573</v>
      </c>
      <c r="H166" s="41" t="s">
        <v>553</v>
      </c>
      <c r="I166" s="41" t="s">
        <v>906</v>
      </c>
      <c r="J166" s="41" t="s">
        <v>555</v>
      </c>
      <c r="K166" s="41" t="s">
        <v>907</v>
      </c>
      <c r="L166" s="41" t="s">
        <v>557</v>
      </c>
      <c r="M166" s="41"/>
      <c r="N166" s="41"/>
      <c r="O166" s="41"/>
      <c r="P166" s="41"/>
      <c r="Q166" s="41"/>
      <c r="R166" s="41" t="s">
        <v>558</v>
      </c>
      <c r="S166" s="41" t="s">
        <v>559</v>
      </c>
      <c r="T166" s="41" t="s">
        <v>950</v>
      </c>
      <c r="U166" s="41"/>
    </row>
    <row r="167" spans="1:21" ht="45" customHeight="1" x14ac:dyDescent="0.25">
      <c r="A167" s="24">
        <v>166</v>
      </c>
      <c r="B167" s="24" t="s">
        <v>180</v>
      </c>
      <c r="C167" s="24" t="s">
        <v>180</v>
      </c>
      <c r="D167" s="39" t="s">
        <v>4</v>
      </c>
      <c r="E167" s="25" t="s">
        <v>550</v>
      </c>
      <c r="F167" s="25" t="s">
        <v>951</v>
      </c>
      <c r="G167" s="24" t="s">
        <v>573</v>
      </c>
      <c r="H167" s="25" t="s">
        <v>553</v>
      </c>
      <c r="I167" s="25" t="s">
        <v>906</v>
      </c>
      <c r="J167" s="25" t="s">
        <v>555</v>
      </c>
      <c r="K167" s="25" t="s">
        <v>907</v>
      </c>
      <c r="L167" s="25" t="s">
        <v>557</v>
      </c>
      <c r="M167" s="25"/>
      <c r="N167" s="25"/>
      <c r="O167" s="25"/>
      <c r="P167" s="25"/>
      <c r="Q167" s="25"/>
      <c r="R167" s="25" t="s">
        <v>558</v>
      </c>
      <c r="S167" s="25" t="s">
        <v>559</v>
      </c>
      <c r="T167" s="25" t="s">
        <v>952</v>
      </c>
      <c r="U167" s="25"/>
    </row>
    <row r="168" spans="1:21" ht="45" customHeight="1" x14ac:dyDescent="0.25">
      <c r="A168" s="40">
        <v>167</v>
      </c>
      <c r="B168" s="40" t="s">
        <v>181</v>
      </c>
      <c r="C168" s="40" t="s">
        <v>181</v>
      </c>
      <c r="D168" s="39" t="s">
        <v>4</v>
      </c>
      <c r="E168" s="41" t="s">
        <v>550</v>
      </c>
      <c r="F168" s="41" t="s">
        <v>953</v>
      </c>
      <c r="G168" s="40" t="s">
        <v>573</v>
      </c>
      <c r="H168" s="41" t="s">
        <v>553</v>
      </c>
      <c r="I168" s="41" t="s">
        <v>906</v>
      </c>
      <c r="J168" s="41" t="s">
        <v>555</v>
      </c>
      <c r="K168" s="41" t="s">
        <v>907</v>
      </c>
      <c r="L168" s="41" t="s">
        <v>557</v>
      </c>
      <c r="M168" s="41"/>
      <c r="N168" s="41"/>
      <c r="O168" s="41"/>
      <c r="P168" s="41"/>
      <c r="Q168" s="41"/>
      <c r="R168" s="41" t="s">
        <v>558</v>
      </c>
      <c r="S168" s="41" t="s">
        <v>559</v>
      </c>
      <c r="T168" s="41" t="s">
        <v>954</v>
      </c>
      <c r="U168" s="41"/>
    </row>
    <row r="169" spans="1:21" ht="45" customHeight="1" x14ac:dyDescent="0.25">
      <c r="A169" s="24">
        <v>168</v>
      </c>
      <c r="B169" s="24" t="s">
        <v>182</v>
      </c>
      <c r="C169" s="24" t="s">
        <v>182</v>
      </c>
      <c r="D169" s="39" t="s">
        <v>4</v>
      </c>
      <c r="E169" s="25" t="s">
        <v>550</v>
      </c>
      <c r="F169" s="25" t="s">
        <v>955</v>
      </c>
      <c r="G169" s="24" t="s">
        <v>573</v>
      </c>
      <c r="H169" s="25" t="s">
        <v>553</v>
      </c>
      <c r="I169" s="25" t="s">
        <v>906</v>
      </c>
      <c r="J169" s="25" t="s">
        <v>555</v>
      </c>
      <c r="K169" s="25" t="s">
        <v>907</v>
      </c>
      <c r="L169" s="25" t="s">
        <v>557</v>
      </c>
      <c r="M169" s="25"/>
      <c r="N169" s="25"/>
      <c r="O169" s="25"/>
      <c r="P169" s="25"/>
      <c r="Q169" s="25"/>
      <c r="R169" s="25" t="s">
        <v>558</v>
      </c>
      <c r="S169" s="25" t="s">
        <v>559</v>
      </c>
      <c r="T169" s="25" t="s">
        <v>956</v>
      </c>
      <c r="U169" s="25"/>
    </row>
    <row r="170" spans="1:21" ht="45" customHeight="1" x14ac:dyDescent="0.25">
      <c r="A170" s="40">
        <v>169</v>
      </c>
      <c r="B170" s="40" t="s">
        <v>183</v>
      </c>
      <c r="C170" s="40" t="s">
        <v>183</v>
      </c>
      <c r="D170" s="39" t="s">
        <v>4</v>
      </c>
      <c r="E170" s="41" t="s">
        <v>550</v>
      </c>
      <c r="F170" s="41" t="s">
        <v>957</v>
      </c>
      <c r="G170" s="40" t="s">
        <v>573</v>
      </c>
      <c r="H170" s="41" t="s">
        <v>553</v>
      </c>
      <c r="I170" s="41" t="s">
        <v>906</v>
      </c>
      <c r="J170" s="41" t="s">
        <v>555</v>
      </c>
      <c r="K170" s="41" t="s">
        <v>907</v>
      </c>
      <c r="L170" s="41" t="s">
        <v>557</v>
      </c>
      <c r="M170" s="41"/>
      <c r="N170" s="41"/>
      <c r="O170" s="41"/>
      <c r="P170" s="41"/>
      <c r="Q170" s="41"/>
      <c r="R170" s="41" t="s">
        <v>558</v>
      </c>
      <c r="S170" s="41" t="s">
        <v>559</v>
      </c>
      <c r="T170" s="41" t="s">
        <v>958</v>
      </c>
      <c r="U170" s="41"/>
    </row>
    <row r="171" spans="1:21" ht="45" customHeight="1" x14ac:dyDescent="0.25">
      <c r="A171" s="24">
        <v>170</v>
      </c>
      <c r="B171" s="24" t="s">
        <v>184</v>
      </c>
      <c r="C171" s="24" t="s">
        <v>184</v>
      </c>
      <c r="D171" s="39" t="s">
        <v>4</v>
      </c>
      <c r="E171" s="25" t="s">
        <v>550</v>
      </c>
      <c r="F171" s="25" t="s">
        <v>959</v>
      </c>
      <c r="G171" s="24" t="s">
        <v>573</v>
      </c>
      <c r="H171" s="25" t="s">
        <v>553</v>
      </c>
      <c r="I171" s="25" t="s">
        <v>906</v>
      </c>
      <c r="J171" s="25" t="s">
        <v>555</v>
      </c>
      <c r="K171" s="25" t="s">
        <v>907</v>
      </c>
      <c r="L171" s="25" t="s">
        <v>557</v>
      </c>
      <c r="M171" s="25"/>
      <c r="N171" s="25"/>
      <c r="O171" s="25"/>
      <c r="P171" s="25"/>
      <c r="Q171" s="25"/>
      <c r="R171" s="25" t="s">
        <v>558</v>
      </c>
      <c r="S171" s="25" t="s">
        <v>559</v>
      </c>
      <c r="T171" s="25" t="s">
        <v>960</v>
      </c>
      <c r="U171" s="25"/>
    </row>
    <row r="172" spans="1:21" ht="45" customHeight="1" x14ac:dyDescent="0.25">
      <c r="A172" s="40">
        <v>171</v>
      </c>
      <c r="B172" s="40" t="s">
        <v>185</v>
      </c>
      <c r="C172" s="40" t="s">
        <v>185</v>
      </c>
      <c r="D172" s="39" t="s">
        <v>4</v>
      </c>
      <c r="E172" s="41" t="s">
        <v>550</v>
      </c>
      <c r="F172" s="41" t="s">
        <v>961</v>
      </c>
      <c r="G172" s="40" t="s">
        <v>573</v>
      </c>
      <c r="H172" s="41" t="s">
        <v>553</v>
      </c>
      <c r="I172" s="41" t="s">
        <v>906</v>
      </c>
      <c r="J172" s="41" t="s">
        <v>555</v>
      </c>
      <c r="K172" s="41" t="s">
        <v>907</v>
      </c>
      <c r="L172" s="41" t="s">
        <v>557</v>
      </c>
      <c r="M172" s="41"/>
      <c r="N172" s="41"/>
      <c r="O172" s="41"/>
      <c r="P172" s="41"/>
      <c r="Q172" s="41"/>
      <c r="R172" s="41" t="s">
        <v>558</v>
      </c>
      <c r="S172" s="41" t="s">
        <v>559</v>
      </c>
      <c r="T172" s="41" t="s">
        <v>962</v>
      </c>
      <c r="U172" s="41"/>
    </row>
    <row r="173" spans="1:21" ht="45" customHeight="1" x14ac:dyDescent="0.25">
      <c r="A173" s="24">
        <v>172</v>
      </c>
      <c r="B173" s="24" t="s">
        <v>186</v>
      </c>
      <c r="C173" s="24" t="s">
        <v>186</v>
      </c>
      <c r="D173" s="39" t="s">
        <v>4</v>
      </c>
      <c r="E173" s="25" t="s">
        <v>550</v>
      </c>
      <c r="F173" s="25" t="s">
        <v>963</v>
      </c>
      <c r="G173" s="24" t="s">
        <v>573</v>
      </c>
      <c r="H173" s="25" t="s">
        <v>553</v>
      </c>
      <c r="I173" s="25" t="s">
        <v>906</v>
      </c>
      <c r="J173" s="25" t="s">
        <v>555</v>
      </c>
      <c r="K173" s="25" t="s">
        <v>907</v>
      </c>
      <c r="L173" s="25" t="s">
        <v>557</v>
      </c>
      <c r="M173" s="25"/>
      <c r="N173" s="25"/>
      <c r="O173" s="25"/>
      <c r="P173" s="25"/>
      <c r="Q173" s="25"/>
      <c r="R173" s="25" t="s">
        <v>558</v>
      </c>
      <c r="S173" s="25" t="s">
        <v>559</v>
      </c>
      <c r="T173" s="25" t="s">
        <v>964</v>
      </c>
      <c r="U173" s="25"/>
    </row>
    <row r="174" spans="1:21" ht="45" customHeight="1" x14ac:dyDescent="0.25">
      <c r="A174" s="40">
        <v>173</v>
      </c>
      <c r="B174" s="40" t="s">
        <v>187</v>
      </c>
      <c r="C174" s="40" t="s">
        <v>187</v>
      </c>
      <c r="D174" s="39" t="s">
        <v>4</v>
      </c>
      <c r="E174" s="41" t="s">
        <v>550</v>
      </c>
      <c r="F174" s="41" t="s">
        <v>965</v>
      </c>
      <c r="G174" s="40" t="s">
        <v>573</v>
      </c>
      <c r="H174" s="41" t="s">
        <v>553</v>
      </c>
      <c r="I174" s="41" t="s">
        <v>906</v>
      </c>
      <c r="J174" s="41" t="s">
        <v>555</v>
      </c>
      <c r="K174" s="41" t="s">
        <v>907</v>
      </c>
      <c r="L174" s="41" t="s">
        <v>557</v>
      </c>
      <c r="M174" s="41"/>
      <c r="N174" s="41"/>
      <c r="O174" s="41"/>
      <c r="P174" s="41"/>
      <c r="Q174" s="41"/>
      <c r="R174" s="41" t="s">
        <v>558</v>
      </c>
      <c r="S174" s="41" t="s">
        <v>559</v>
      </c>
      <c r="T174" s="41" t="s">
        <v>966</v>
      </c>
      <c r="U174" s="41"/>
    </row>
    <row r="175" spans="1:21" ht="45" customHeight="1" x14ac:dyDescent="0.25">
      <c r="A175" s="24">
        <v>174</v>
      </c>
      <c r="B175" s="24" t="s">
        <v>188</v>
      </c>
      <c r="C175" s="24" t="s">
        <v>188</v>
      </c>
      <c r="D175" s="39" t="s">
        <v>4</v>
      </c>
      <c r="E175" s="25" t="s">
        <v>550</v>
      </c>
      <c r="F175" s="25" t="s">
        <v>967</v>
      </c>
      <c r="G175" s="24" t="s">
        <v>573</v>
      </c>
      <c r="H175" s="25" t="s">
        <v>553</v>
      </c>
      <c r="I175" s="25" t="s">
        <v>906</v>
      </c>
      <c r="J175" s="25" t="s">
        <v>555</v>
      </c>
      <c r="K175" s="25" t="s">
        <v>907</v>
      </c>
      <c r="L175" s="25" t="s">
        <v>557</v>
      </c>
      <c r="M175" s="25"/>
      <c r="N175" s="25"/>
      <c r="O175" s="25"/>
      <c r="P175" s="25"/>
      <c r="Q175" s="25"/>
      <c r="R175" s="25" t="s">
        <v>558</v>
      </c>
      <c r="S175" s="25" t="s">
        <v>559</v>
      </c>
      <c r="T175" s="25" t="s">
        <v>968</v>
      </c>
      <c r="U175" s="25"/>
    </row>
    <row r="176" spans="1:21" ht="45" customHeight="1" x14ac:dyDescent="0.25">
      <c r="A176" s="40">
        <v>175</v>
      </c>
      <c r="B176" s="40" t="s">
        <v>189</v>
      </c>
      <c r="C176" s="40" t="s">
        <v>189</v>
      </c>
      <c r="D176" s="39" t="s">
        <v>4</v>
      </c>
      <c r="E176" s="41" t="s">
        <v>550</v>
      </c>
      <c r="F176" s="41" t="s">
        <v>969</v>
      </c>
      <c r="G176" s="40" t="s">
        <v>573</v>
      </c>
      <c r="H176" s="41" t="s">
        <v>553</v>
      </c>
      <c r="I176" s="41" t="s">
        <v>906</v>
      </c>
      <c r="J176" s="41" t="s">
        <v>555</v>
      </c>
      <c r="K176" s="41" t="s">
        <v>556</v>
      </c>
      <c r="L176" s="41" t="s">
        <v>557</v>
      </c>
      <c r="M176" s="41"/>
      <c r="N176" s="41"/>
      <c r="O176" s="41"/>
      <c r="P176" s="41"/>
      <c r="Q176" s="41"/>
      <c r="R176" s="41" t="s">
        <v>558</v>
      </c>
      <c r="S176" s="41" t="s">
        <v>559</v>
      </c>
      <c r="T176" s="41" t="s">
        <v>970</v>
      </c>
      <c r="U176" s="41"/>
    </row>
    <row r="177" spans="1:21" ht="45" customHeight="1" x14ac:dyDescent="0.25">
      <c r="A177" s="24">
        <v>176</v>
      </c>
      <c r="B177" s="24" t="s">
        <v>190</v>
      </c>
      <c r="C177" s="24" t="s">
        <v>190</v>
      </c>
      <c r="D177" s="39" t="s">
        <v>4</v>
      </c>
      <c r="E177" s="25" t="s">
        <v>971</v>
      </c>
      <c r="F177" s="25" t="s">
        <v>972</v>
      </c>
      <c r="G177" s="24" t="s">
        <v>573</v>
      </c>
      <c r="H177" s="25" t="s">
        <v>553</v>
      </c>
      <c r="I177" s="25" t="s">
        <v>906</v>
      </c>
      <c r="J177" s="25" t="s">
        <v>555</v>
      </c>
      <c r="K177" s="25" t="s">
        <v>907</v>
      </c>
      <c r="L177" s="25" t="s">
        <v>696</v>
      </c>
      <c r="M177" s="25"/>
      <c r="N177" s="25" t="s">
        <v>580</v>
      </c>
      <c r="O177" s="25"/>
      <c r="P177" s="25"/>
      <c r="Q177" s="25" t="s">
        <v>635</v>
      </c>
      <c r="R177" s="25" t="s">
        <v>558</v>
      </c>
      <c r="S177" s="25" t="s">
        <v>559</v>
      </c>
      <c r="T177" s="25" t="s">
        <v>973</v>
      </c>
      <c r="U177" s="25"/>
    </row>
    <row r="178" spans="1:21" ht="45" customHeight="1" x14ac:dyDescent="0.25">
      <c r="A178" s="40">
        <v>177</v>
      </c>
      <c r="B178" s="40" t="s">
        <v>191</v>
      </c>
      <c r="C178" s="40" t="s">
        <v>191</v>
      </c>
      <c r="D178" s="39" t="s">
        <v>4</v>
      </c>
      <c r="E178" s="41" t="s">
        <v>974</v>
      </c>
      <c r="F178" s="41" t="s">
        <v>975</v>
      </c>
      <c r="G178" s="40" t="s">
        <v>573</v>
      </c>
      <c r="H178" s="41" t="s">
        <v>564</v>
      </c>
      <c r="I178" s="41" t="s">
        <v>906</v>
      </c>
      <c r="J178" s="41" t="s">
        <v>578</v>
      </c>
      <c r="K178" s="41" t="s">
        <v>566</v>
      </c>
      <c r="L178" s="41" t="s">
        <v>567</v>
      </c>
      <c r="M178" s="41"/>
      <c r="N178" s="41" t="s">
        <v>580</v>
      </c>
      <c r="O178" s="41"/>
      <c r="P178" s="41" t="s">
        <v>569</v>
      </c>
      <c r="Q178" s="41" t="s">
        <v>635</v>
      </c>
      <c r="R178" s="41" t="s">
        <v>558</v>
      </c>
      <c r="S178" s="41" t="s">
        <v>559</v>
      </c>
      <c r="T178" s="41" t="s">
        <v>976</v>
      </c>
      <c r="U178" s="41"/>
    </row>
    <row r="179" spans="1:21" ht="45" customHeight="1" x14ac:dyDescent="0.25">
      <c r="A179" s="24">
        <v>178</v>
      </c>
      <c r="B179" s="24" t="s">
        <v>192</v>
      </c>
      <c r="C179" s="24" t="s">
        <v>192</v>
      </c>
      <c r="D179" s="39" t="s">
        <v>4</v>
      </c>
      <c r="E179" s="25" t="s">
        <v>977</v>
      </c>
      <c r="F179" s="25" t="s">
        <v>978</v>
      </c>
      <c r="G179" s="24" t="s">
        <v>573</v>
      </c>
      <c r="H179" s="25" t="s">
        <v>553</v>
      </c>
      <c r="I179" s="25" t="s">
        <v>906</v>
      </c>
      <c r="J179" s="25" t="s">
        <v>555</v>
      </c>
      <c r="K179" s="25" t="s">
        <v>979</v>
      </c>
      <c r="L179" s="25" t="s">
        <v>696</v>
      </c>
      <c r="M179" s="25"/>
      <c r="N179" s="25"/>
      <c r="O179" s="25"/>
      <c r="P179" s="25"/>
      <c r="Q179" s="25" t="s">
        <v>635</v>
      </c>
      <c r="R179" s="25" t="s">
        <v>558</v>
      </c>
      <c r="S179" s="25" t="s">
        <v>559</v>
      </c>
      <c r="T179" s="25" t="s">
        <v>980</v>
      </c>
      <c r="U179" s="25"/>
    </row>
    <row r="180" spans="1:21" ht="45" customHeight="1" x14ac:dyDescent="0.25">
      <c r="A180" s="40">
        <v>179</v>
      </c>
      <c r="B180" s="40" t="s">
        <v>193</v>
      </c>
      <c r="C180" s="40" t="s">
        <v>193</v>
      </c>
      <c r="D180" s="39" t="s">
        <v>4</v>
      </c>
      <c r="E180" s="41" t="s">
        <v>977</v>
      </c>
      <c r="F180" s="41" t="s">
        <v>981</v>
      </c>
      <c r="G180" s="40" t="s">
        <v>573</v>
      </c>
      <c r="H180" s="41" t="s">
        <v>553</v>
      </c>
      <c r="I180" s="41" t="s">
        <v>906</v>
      </c>
      <c r="J180" s="41" t="s">
        <v>555</v>
      </c>
      <c r="K180" s="41" t="s">
        <v>979</v>
      </c>
      <c r="L180" s="41" t="s">
        <v>696</v>
      </c>
      <c r="M180" s="41"/>
      <c r="N180" s="41"/>
      <c r="O180" s="41"/>
      <c r="P180" s="41"/>
      <c r="Q180" s="41" t="s">
        <v>635</v>
      </c>
      <c r="R180" s="41" t="s">
        <v>558</v>
      </c>
      <c r="S180" s="41" t="s">
        <v>559</v>
      </c>
      <c r="T180" s="41" t="s">
        <v>982</v>
      </c>
      <c r="U180" s="41"/>
    </row>
    <row r="181" spans="1:21" ht="45" customHeight="1" x14ac:dyDescent="0.25">
      <c r="A181" s="24">
        <v>180</v>
      </c>
      <c r="B181" s="24" t="s">
        <v>194</v>
      </c>
      <c r="C181" s="24" t="s">
        <v>194</v>
      </c>
      <c r="D181" s="39" t="s">
        <v>4</v>
      </c>
      <c r="E181" s="25" t="s">
        <v>977</v>
      </c>
      <c r="F181" s="25" t="s">
        <v>983</v>
      </c>
      <c r="G181" s="24" t="s">
        <v>573</v>
      </c>
      <c r="H181" s="25" t="s">
        <v>553</v>
      </c>
      <c r="I181" s="25" t="s">
        <v>906</v>
      </c>
      <c r="J181" s="25" t="s">
        <v>555</v>
      </c>
      <c r="K181" s="25" t="s">
        <v>979</v>
      </c>
      <c r="L181" s="25" t="s">
        <v>696</v>
      </c>
      <c r="M181" s="25"/>
      <c r="N181" s="25"/>
      <c r="O181" s="25"/>
      <c r="P181" s="25"/>
      <c r="Q181" s="25" t="s">
        <v>635</v>
      </c>
      <c r="R181" s="25" t="s">
        <v>558</v>
      </c>
      <c r="S181" s="25" t="s">
        <v>559</v>
      </c>
      <c r="T181" s="25" t="s">
        <v>984</v>
      </c>
      <c r="U181" s="25"/>
    </row>
    <row r="182" spans="1:21" ht="45" customHeight="1" x14ac:dyDescent="0.25">
      <c r="A182" s="40">
        <v>181</v>
      </c>
      <c r="B182" s="40" t="s">
        <v>195</v>
      </c>
      <c r="C182" s="40" t="s">
        <v>195</v>
      </c>
      <c r="D182" s="39" t="s">
        <v>4</v>
      </c>
      <c r="E182" s="41" t="s">
        <v>977</v>
      </c>
      <c r="F182" s="41" t="s">
        <v>985</v>
      </c>
      <c r="G182" s="40" t="s">
        <v>573</v>
      </c>
      <c r="H182" s="41" t="s">
        <v>700</v>
      </c>
      <c r="I182" s="41" t="s">
        <v>906</v>
      </c>
      <c r="J182" s="41" t="s">
        <v>578</v>
      </c>
      <c r="K182" s="41" t="s">
        <v>979</v>
      </c>
      <c r="L182" s="41" t="s">
        <v>696</v>
      </c>
      <c r="M182" s="41"/>
      <c r="N182" s="41" t="s">
        <v>986</v>
      </c>
      <c r="O182" s="41"/>
      <c r="P182" s="41"/>
      <c r="Q182" s="41" t="s">
        <v>635</v>
      </c>
      <c r="R182" s="41" t="s">
        <v>558</v>
      </c>
      <c r="S182" s="41" t="s">
        <v>559</v>
      </c>
      <c r="T182" s="41" t="s">
        <v>987</v>
      </c>
      <c r="U182" s="41"/>
    </row>
    <row r="183" spans="1:21" ht="45" customHeight="1" x14ac:dyDescent="0.25">
      <c r="A183" s="24">
        <v>182</v>
      </c>
      <c r="B183" s="24" t="s">
        <v>196</v>
      </c>
      <c r="C183" s="24" t="s">
        <v>196</v>
      </c>
      <c r="D183" s="39" t="s">
        <v>4</v>
      </c>
      <c r="E183" s="25" t="s">
        <v>977</v>
      </c>
      <c r="F183" s="25" t="s">
        <v>988</v>
      </c>
      <c r="G183" s="24" t="s">
        <v>573</v>
      </c>
      <c r="H183" s="25" t="s">
        <v>553</v>
      </c>
      <c r="I183" s="25" t="s">
        <v>906</v>
      </c>
      <c r="J183" s="25" t="s">
        <v>555</v>
      </c>
      <c r="K183" s="25" t="s">
        <v>979</v>
      </c>
      <c r="L183" s="25" t="s">
        <v>696</v>
      </c>
      <c r="M183" s="25"/>
      <c r="N183" s="25"/>
      <c r="O183" s="25"/>
      <c r="P183" s="25"/>
      <c r="Q183" s="25" t="s">
        <v>635</v>
      </c>
      <c r="R183" s="25" t="s">
        <v>558</v>
      </c>
      <c r="S183" s="25" t="s">
        <v>559</v>
      </c>
      <c r="T183" s="25" t="s">
        <v>989</v>
      </c>
      <c r="U183" s="25"/>
    </row>
    <row r="184" spans="1:21" ht="45" customHeight="1" x14ac:dyDescent="0.25">
      <c r="A184" s="40">
        <v>183</v>
      </c>
      <c r="B184" s="40" t="s">
        <v>197</v>
      </c>
      <c r="C184" s="40" t="s">
        <v>197</v>
      </c>
      <c r="D184" s="39" t="s">
        <v>4</v>
      </c>
      <c r="E184" s="41" t="s">
        <v>990</v>
      </c>
      <c r="F184" s="41" t="s">
        <v>991</v>
      </c>
      <c r="G184" s="40" t="s">
        <v>573</v>
      </c>
      <c r="H184" s="41" t="s">
        <v>610</v>
      </c>
      <c r="I184" s="41" t="s">
        <v>906</v>
      </c>
      <c r="J184" s="41" t="s">
        <v>578</v>
      </c>
      <c r="K184" s="41" t="s">
        <v>992</v>
      </c>
      <c r="L184" s="41" t="s">
        <v>567</v>
      </c>
      <c r="M184" s="41"/>
      <c r="N184" s="41"/>
      <c r="O184" s="41"/>
      <c r="P184" s="41" t="s">
        <v>993</v>
      </c>
      <c r="Q184" s="41" t="s">
        <v>635</v>
      </c>
      <c r="R184" s="41" t="s">
        <v>558</v>
      </c>
      <c r="S184" s="41" t="s">
        <v>559</v>
      </c>
      <c r="T184" s="41" t="s">
        <v>994</v>
      </c>
      <c r="U184" s="41"/>
    </row>
    <row r="185" spans="1:21" ht="45" customHeight="1" x14ac:dyDescent="0.25">
      <c r="A185" s="24">
        <v>184</v>
      </c>
      <c r="B185" s="24" t="s">
        <v>198</v>
      </c>
      <c r="C185" s="24" t="s">
        <v>198</v>
      </c>
      <c r="D185" s="39" t="s">
        <v>4</v>
      </c>
      <c r="E185" s="25" t="s">
        <v>990</v>
      </c>
      <c r="F185" s="25" t="s">
        <v>995</v>
      </c>
      <c r="G185" s="24" t="s">
        <v>573</v>
      </c>
      <c r="H185" s="25" t="s">
        <v>610</v>
      </c>
      <c r="I185" s="25" t="s">
        <v>906</v>
      </c>
      <c r="J185" s="25" t="s">
        <v>578</v>
      </c>
      <c r="K185" s="25" t="s">
        <v>992</v>
      </c>
      <c r="L185" s="25" t="s">
        <v>567</v>
      </c>
      <c r="M185" s="25"/>
      <c r="N185" s="25"/>
      <c r="O185" s="25"/>
      <c r="P185" s="25" t="s">
        <v>993</v>
      </c>
      <c r="Q185" s="25" t="s">
        <v>635</v>
      </c>
      <c r="R185" s="25" t="s">
        <v>558</v>
      </c>
      <c r="S185" s="25" t="s">
        <v>559</v>
      </c>
      <c r="T185" s="25" t="s">
        <v>996</v>
      </c>
      <c r="U185" s="25"/>
    </row>
    <row r="186" spans="1:21" ht="45" customHeight="1" x14ac:dyDescent="0.25">
      <c r="A186" s="40">
        <v>185</v>
      </c>
      <c r="B186" s="40" t="s">
        <v>199</v>
      </c>
      <c r="C186" s="40" t="s">
        <v>199</v>
      </c>
      <c r="D186" s="39" t="s">
        <v>4</v>
      </c>
      <c r="E186" s="41" t="s">
        <v>990</v>
      </c>
      <c r="F186" s="41" t="s">
        <v>997</v>
      </c>
      <c r="G186" s="40" t="s">
        <v>573</v>
      </c>
      <c r="H186" s="41" t="s">
        <v>610</v>
      </c>
      <c r="I186" s="41" t="s">
        <v>906</v>
      </c>
      <c r="J186" s="41" t="s">
        <v>578</v>
      </c>
      <c r="K186" s="41" t="s">
        <v>992</v>
      </c>
      <c r="L186" s="41" t="s">
        <v>567</v>
      </c>
      <c r="M186" s="41"/>
      <c r="N186" s="41"/>
      <c r="O186" s="41"/>
      <c r="P186" s="41" t="s">
        <v>993</v>
      </c>
      <c r="Q186" s="41" t="s">
        <v>635</v>
      </c>
      <c r="R186" s="41" t="s">
        <v>558</v>
      </c>
      <c r="S186" s="41" t="s">
        <v>559</v>
      </c>
      <c r="T186" s="41" t="s">
        <v>998</v>
      </c>
      <c r="U186" s="41"/>
    </row>
    <row r="187" spans="1:21" ht="45" customHeight="1" x14ac:dyDescent="0.25">
      <c r="A187" s="24">
        <v>186</v>
      </c>
      <c r="B187" s="24" t="s">
        <v>200</v>
      </c>
      <c r="C187" s="24" t="s">
        <v>200</v>
      </c>
      <c r="D187" s="39" t="s">
        <v>4</v>
      </c>
      <c r="E187" s="25" t="s">
        <v>990</v>
      </c>
      <c r="F187" s="25" t="s">
        <v>999</v>
      </c>
      <c r="G187" s="24" t="s">
        <v>573</v>
      </c>
      <c r="H187" s="25" t="s">
        <v>610</v>
      </c>
      <c r="I187" s="25" t="s">
        <v>906</v>
      </c>
      <c r="J187" s="25" t="s">
        <v>578</v>
      </c>
      <c r="K187" s="25" t="s">
        <v>992</v>
      </c>
      <c r="L187" s="25" t="s">
        <v>567</v>
      </c>
      <c r="M187" s="25"/>
      <c r="N187" s="25"/>
      <c r="O187" s="25"/>
      <c r="P187" s="25" t="s">
        <v>993</v>
      </c>
      <c r="Q187" s="25" t="s">
        <v>635</v>
      </c>
      <c r="R187" s="25" t="s">
        <v>558</v>
      </c>
      <c r="S187" s="25" t="s">
        <v>559</v>
      </c>
      <c r="T187" s="25" t="s">
        <v>1000</v>
      </c>
      <c r="U187" s="25"/>
    </row>
    <row r="188" spans="1:21" ht="45" customHeight="1" x14ac:dyDescent="0.25">
      <c r="A188" s="40">
        <v>187</v>
      </c>
      <c r="B188" s="40" t="s">
        <v>201</v>
      </c>
      <c r="C188" s="40" t="s">
        <v>201</v>
      </c>
      <c r="D188" s="39" t="s">
        <v>4</v>
      </c>
      <c r="E188" s="41" t="s">
        <v>990</v>
      </c>
      <c r="F188" s="41" t="s">
        <v>1001</v>
      </c>
      <c r="G188" s="40" t="s">
        <v>573</v>
      </c>
      <c r="H188" s="41" t="s">
        <v>610</v>
      </c>
      <c r="I188" s="41" t="s">
        <v>906</v>
      </c>
      <c r="J188" s="41" t="s">
        <v>578</v>
      </c>
      <c r="K188" s="41" t="s">
        <v>992</v>
      </c>
      <c r="L188" s="41" t="s">
        <v>696</v>
      </c>
      <c r="M188" s="41"/>
      <c r="N188" s="41"/>
      <c r="O188" s="41"/>
      <c r="P188" s="41"/>
      <c r="Q188" s="41" t="s">
        <v>635</v>
      </c>
      <c r="R188" s="41" t="s">
        <v>558</v>
      </c>
      <c r="S188" s="41" t="s">
        <v>559</v>
      </c>
      <c r="T188" s="41" t="s">
        <v>1002</v>
      </c>
      <c r="U188" s="41"/>
    </row>
    <row r="189" spans="1:21" ht="45" customHeight="1" x14ac:dyDescent="0.25">
      <c r="A189" s="24">
        <v>188</v>
      </c>
      <c r="B189" s="24" t="s">
        <v>202</v>
      </c>
      <c r="C189" s="24" t="s">
        <v>202</v>
      </c>
      <c r="D189" s="39" t="s">
        <v>4</v>
      </c>
      <c r="E189" s="25" t="s">
        <v>977</v>
      </c>
      <c r="F189" s="25" t="s">
        <v>1003</v>
      </c>
      <c r="G189" s="24" t="s">
        <v>573</v>
      </c>
      <c r="H189" s="25" t="s">
        <v>553</v>
      </c>
      <c r="I189" s="25" t="s">
        <v>906</v>
      </c>
      <c r="J189" s="25" t="s">
        <v>555</v>
      </c>
      <c r="K189" s="25" t="s">
        <v>979</v>
      </c>
      <c r="L189" s="25" t="s">
        <v>696</v>
      </c>
      <c r="M189" s="25"/>
      <c r="N189" s="25"/>
      <c r="O189" s="25"/>
      <c r="P189" s="25"/>
      <c r="Q189" s="25" t="s">
        <v>635</v>
      </c>
      <c r="R189" s="25" t="s">
        <v>570</v>
      </c>
      <c r="S189" s="25" t="s">
        <v>559</v>
      </c>
      <c r="T189" s="25" t="s">
        <v>1004</v>
      </c>
      <c r="U189" s="25"/>
    </row>
    <row r="190" spans="1:21" ht="45" customHeight="1" x14ac:dyDescent="0.25">
      <c r="A190" s="40">
        <v>189</v>
      </c>
      <c r="B190" s="40" t="s">
        <v>203</v>
      </c>
      <c r="C190" s="40" t="s">
        <v>203</v>
      </c>
      <c r="D190" s="39" t="s">
        <v>4</v>
      </c>
      <c r="E190" s="41" t="s">
        <v>550</v>
      </c>
      <c r="F190" s="41" t="s">
        <v>1005</v>
      </c>
      <c r="G190" s="40" t="s">
        <v>573</v>
      </c>
      <c r="H190" s="41" t="s">
        <v>610</v>
      </c>
      <c r="I190" s="41" t="s">
        <v>906</v>
      </c>
      <c r="J190" s="41" t="s">
        <v>578</v>
      </c>
      <c r="K190" s="41" t="s">
        <v>556</v>
      </c>
      <c r="L190" s="41" t="s">
        <v>696</v>
      </c>
      <c r="M190" s="41"/>
      <c r="N190" s="41"/>
      <c r="O190" s="41"/>
      <c r="P190" s="41"/>
      <c r="Q190" s="41" t="s">
        <v>635</v>
      </c>
      <c r="R190" s="41" t="s">
        <v>558</v>
      </c>
      <c r="S190" s="41" t="s">
        <v>559</v>
      </c>
      <c r="T190" s="41" t="s">
        <v>1006</v>
      </c>
      <c r="U190" s="41"/>
    </row>
    <row r="191" spans="1:21" ht="45" customHeight="1" x14ac:dyDescent="0.25">
      <c r="A191" s="24">
        <v>190</v>
      </c>
      <c r="B191" s="24" t="s">
        <v>204</v>
      </c>
      <c r="C191" s="24" t="s">
        <v>204</v>
      </c>
      <c r="D191" s="39" t="s">
        <v>4</v>
      </c>
      <c r="E191" s="25" t="s">
        <v>550</v>
      </c>
      <c r="F191" s="25" t="s">
        <v>1007</v>
      </c>
      <c r="G191" s="24" t="s">
        <v>573</v>
      </c>
      <c r="H191" s="25" t="s">
        <v>564</v>
      </c>
      <c r="I191" s="25" t="s">
        <v>906</v>
      </c>
      <c r="J191" s="25" t="s">
        <v>578</v>
      </c>
      <c r="K191" s="25" t="s">
        <v>556</v>
      </c>
      <c r="L191" s="25" t="s">
        <v>696</v>
      </c>
      <c r="M191" s="25"/>
      <c r="N191" s="25"/>
      <c r="O191" s="25"/>
      <c r="P191" s="25"/>
      <c r="Q191" s="25" t="s">
        <v>635</v>
      </c>
      <c r="R191" s="25" t="s">
        <v>558</v>
      </c>
      <c r="S191" s="25" t="s">
        <v>559</v>
      </c>
      <c r="T191" s="25" t="s">
        <v>1008</v>
      </c>
      <c r="U191" s="25"/>
    </row>
    <row r="192" spans="1:21" ht="45" customHeight="1" x14ac:dyDescent="0.25">
      <c r="A192" s="40">
        <v>191</v>
      </c>
      <c r="B192" s="40" t="s">
        <v>205</v>
      </c>
      <c r="C192" s="40" t="s">
        <v>205</v>
      </c>
      <c r="D192" s="39" t="s">
        <v>4</v>
      </c>
      <c r="E192" s="41" t="s">
        <v>977</v>
      </c>
      <c r="F192" s="41" t="s">
        <v>1009</v>
      </c>
      <c r="G192" s="40" t="s">
        <v>573</v>
      </c>
      <c r="H192" s="41" t="s">
        <v>553</v>
      </c>
      <c r="I192" s="41" t="s">
        <v>906</v>
      </c>
      <c r="J192" s="41" t="s">
        <v>555</v>
      </c>
      <c r="K192" s="41" t="s">
        <v>979</v>
      </c>
      <c r="L192" s="41" t="s">
        <v>696</v>
      </c>
      <c r="M192" s="41"/>
      <c r="N192" s="41"/>
      <c r="O192" s="41"/>
      <c r="P192" s="41"/>
      <c r="Q192" s="41" t="s">
        <v>635</v>
      </c>
      <c r="R192" s="41" t="s">
        <v>558</v>
      </c>
      <c r="S192" s="41" t="s">
        <v>559</v>
      </c>
      <c r="T192" s="41" t="s">
        <v>1010</v>
      </c>
      <c r="U192" s="41"/>
    </row>
    <row r="193" spans="1:21" ht="45" customHeight="1" x14ac:dyDescent="0.25">
      <c r="A193" s="24">
        <v>192</v>
      </c>
      <c r="B193" s="24" t="s">
        <v>206</v>
      </c>
      <c r="C193" s="24" t="s">
        <v>206</v>
      </c>
      <c r="D193" s="39" t="s">
        <v>4</v>
      </c>
      <c r="E193" s="25" t="s">
        <v>977</v>
      </c>
      <c r="F193" s="25" t="s">
        <v>1011</v>
      </c>
      <c r="G193" s="24" t="s">
        <v>573</v>
      </c>
      <c r="H193" s="25" t="s">
        <v>553</v>
      </c>
      <c r="I193" s="25" t="s">
        <v>906</v>
      </c>
      <c r="J193" s="25" t="s">
        <v>555</v>
      </c>
      <c r="K193" s="25" t="s">
        <v>979</v>
      </c>
      <c r="L193" s="25" t="s">
        <v>696</v>
      </c>
      <c r="M193" s="25"/>
      <c r="N193" s="25"/>
      <c r="O193" s="25"/>
      <c r="P193" s="25"/>
      <c r="Q193" s="25" t="s">
        <v>635</v>
      </c>
      <c r="R193" s="25" t="s">
        <v>558</v>
      </c>
      <c r="S193" s="25" t="s">
        <v>559</v>
      </c>
      <c r="T193" s="25" t="s">
        <v>1012</v>
      </c>
      <c r="U193" s="25"/>
    </row>
    <row r="194" spans="1:21" ht="45" customHeight="1" x14ac:dyDescent="0.25">
      <c r="A194" s="40">
        <v>193</v>
      </c>
      <c r="B194" s="40" t="s">
        <v>207</v>
      </c>
      <c r="C194" s="40" t="s">
        <v>207</v>
      </c>
      <c r="D194" s="39" t="s">
        <v>4</v>
      </c>
      <c r="E194" s="41" t="s">
        <v>977</v>
      </c>
      <c r="F194" s="41" t="s">
        <v>1013</v>
      </c>
      <c r="G194" s="40" t="s">
        <v>573</v>
      </c>
      <c r="H194" s="41" t="s">
        <v>553</v>
      </c>
      <c r="I194" s="41" t="s">
        <v>906</v>
      </c>
      <c r="J194" s="41" t="s">
        <v>555</v>
      </c>
      <c r="K194" s="41" t="s">
        <v>979</v>
      </c>
      <c r="L194" s="41" t="s">
        <v>696</v>
      </c>
      <c r="M194" s="41"/>
      <c r="N194" s="41"/>
      <c r="O194" s="41"/>
      <c r="P194" s="41"/>
      <c r="Q194" s="41" t="s">
        <v>635</v>
      </c>
      <c r="R194" s="41" t="s">
        <v>558</v>
      </c>
      <c r="S194" s="41" t="s">
        <v>559</v>
      </c>
      <c r="T194" s="41" t="s">
        <v>1014</v>
      </c>
      <c r="U194" s="41"/>
    </row>
    <row r="195" spans="1:21" ht="45" customHeight="1" x14ac:dyDescent="0.25">
      <c r="A195" s="24">
        <v>194</v>
      </c>
      <c r="B195" s="24" t="s">
        <v>208</v>
      </c>
      <c r="C195" s="24" t="s">
        <v>208</v>
      </c>
      <c r="D195" s="42" t="s">
        <v>5</v>
      </c>
      <c r="E195" s="25" t="s">
        <v>550</v>
      </c>
      <c r="F195" s="25" t="s">
        <v>1015</v>
      </c>
      <c r="G195" s="24" t="s">
        <v>573</v>
      </c>
      <c r="H195" s="25" t="s">
        <v>564</v>
      </c>
      <c r="I195" s="25" t="s">
        <v>1016</v>
      </c>
      <c r="J195" s="25" t="s">
        <v>578</v>
      </c>
      <c r="K195" s="25" t="s">
        <v>566</v>
      </c>
      <c r="L195" s="25" t="s">
        <v>567</v>
      </c>
      <c r="M195" s="25"/>
      <c r="N195" s="25"/>
      <c r="O195" s="25"/>
      <c r="P195" s="25" t="s">
        <v>569</v>
      </c>
      <c r="Q195" s="25"/>
      <c r="R195" s="25" t="s">
        <v>558</v>
      </c>
      <c r="S195" s="25" t="s">
        <v>559</v>
      </c>
      <c r="T195" s="25" t="s">
        <v>1017</v>
      </c>
      <c r="U195" s="25"/>
    </row>
    <row r="196" spans="1:21" ht="45" customHeight="1" x14ac:dyDescent="0.25">
      <c r="A196" s="43">
        <v>195</v>
      </c>
      <c r="B196" s="43" t="s">
        <v>209</v>
      </c>
      <c r="C196" s="43" t="s">
        <v>209</v>
      </c>
      <c r="D196" s="42" t="s">
        <v>5</v>
      </c>
      <c r="E196" s="44" t="s">
        <v>550</v>
      </c>
      <c r="F196" s="44" t="s">
        <v>1018</v>
      </c>
      <c r="G196" s="43" t="s">
        <v>573</v>
      </c>
      <c r="H196" s="44" t="s">
        <v>564</v>
      </c>
      <c r="I196" s="44" t="s">
        <v>1016</v>
      </c>
      <c r="J196" s="44" t="s">
        <v>565</v>
      </c>
      <c r="K196" s="44" t="s">
        <v>566</v>
      </c>
      <c r="L196" s="44" t="s">
        <v>567</v>
      </c>
      <c r="M196" s="44"/>
      <c r="N196" s="44"/>
      <c r="O196" s="44"/>
      <c r="P196" s="44" t="s">
        <v>569</v>
      </c>
      <c r="Q196" s="44"/>
      <c r="R196" s="44" t="s">
        <v>558</v>
      </c>
      <c r="S196" s="44" t="s">
        <v>559</v>
      </c>
      <c r="T196" s="44" t="s">
        <v>1019</v>
      </c>
      <c r="U196" s="44"/>
    </row>
    <row r="197" spans="1:21" ht="45" customHeight="1" x14ac:dyDescent="0.25">
      <c r="A197" s="24">
        <v>196</v>
      </c>
      <c r="B197" s="24" t="s">
        <v>210</v>
      </c>
      <c r="C197" s="24" t="s">
        <v>210</v>
      </c>
      <c r="D197" s="42" t="s">
        <v>5</v>
      </c>
      <c r="E197" s="25" t="s">
        <v>1020</v>
      </c>
      <c r="F197" s="25" t="s">
        <v>1021</v>
      </c>
      <c r="G197" s="24" t="s">
        <v>573</v>
      </c>
      <c r="H197" s="25" t="s">
        <v>564</v>
      </c>
      <c r="I197" s="25" t="s">
        <v>1016</v>
      </c>
      <c r="J197" s="25" t="s">
        <v>565</v>
      </c>
      <c r="K197" s="25" t="s">
        <v>566</v>
      </c>
      <c r="L197" s="25" t="s">
        <v>567</v>
      </c>
      <c r="M197" s="25"/>
      <c r="N197" s="25"/>
      <c r="O197" s="25"/>
      <c r="P197" s="25" t="s">
        <v>569</v>
      </c>
      <c r="Q197" s="25"/>
      <c r="R197" s="25" t="s">
        <v>558</v>
      </c>
      <c r="S197" s="25" t="s">
        <v>559</v>
      </c>
      <c r="T197" s="25" t="s">
        <v>1022</v>
      </c>
      <c r="U197" s="25"/>
    </row>
    <row r="198" spans="1:21" ht="45" customHeight="1" x14ac:dyDescent="0.25">
      <c r="A198" s="43">
        <v>197</v>
      </c>
      <c r="B198" s="43" t="s">
        <v>211</v>
      </c>
      <c r="C198" s="43" t="s">
        <v>211</v>
      </c>
      <c r="D198" s="42" t="s">
        <v>5</v>
      </c>
      <c r="E198" s="44" t="s">
        <v>723</v>
      </c>
      <c r="F198" s="44" t="s">
        <v>1023</v>
      </c>
      <c r="G198" s="43" t="s">
        <v>573</v>
      </c>
      <c r="H198" s="44" t="s">
        <v>610</v>
      </c>
      <c r="I198" s="44" t="s">
        <v>1016</v>
      </c>
      <c r="J198" s="44" t="s">
        <v>578</v>
      </c>
      <c r="K198" s="44" t="s">
        <v>556</v>
      </c>
      <c r="L198" s="44" t="s">
        <v>567</v>
      </c>
      <c r="M198" s="44"/>
      <c r="N198" s="44"/>
      <c r="O198" s="44"/>
      <c r="P198" s="44" t="s">
        <v>569</v>
      </c>
      <c r="Q198" s="44"/>
      <c r="R198" s="44" t="s">
        <v>558</v>
      </c>
      <c r="S198" s="44" t="s">
        <v>559</v>
      </c>
      <c r="T198" s="44" t="s">
        <v>1024</v>
      </c>
      <c r="U198" s="44"/>
    </row>
    <row r="199" spans="1:21" ht="45" customHeight="1" x14ac:dyDescent="0.25">
      <c r="A199" s="24">
        <v>198</v>
      </c>
      <c r="B199" s="24" t="s">
        <v>212</v>
      </c>
      <c r="C199" s="24" t="s">
        <v>212</v>
      </c>
      <c r="D199" s="42" t="s">
        <v>5</v>
      </c>
      <c r="E199" s="25" t="s">
        <v>723</v>
      </c>
      <c r="F199" s="25" t="s">
        <v>1025</v>
      </c>
      <c r="G199" s="24" t="s">
        <v>573</v>
      </c>
      <c r="H199" s="25" t="s">
        <v>610</v>
      </c>
      <c r="I199" s="25" t="s">
        <v>1016</v>
      </c>
      <c r="J199" s="25" t="s">
        <v>578</v>
      </c>
      <c r="K199" s="25" t="s">
        <v>556</v>
      </c>
      <c r="L199" s="25" t="s">
        <v>567</v>
      </c>
      <c r="M199" s="25"/>
      <c r="N199" s="25"/>
      <c r="O199" s="25"/>
      <c r="P199" s="25" t="s">
        <v>569</v>
      </c>
      <c r="Q199" s="25"/>
      <c r="R199" s="25" t="s">
        <v>558</v>
      </c>
      <c r="S199" s="25" t="s">
        <v>559</v>
      </c>
      <c r="T199" s="25" t="s">
        <v>1026</v>
      </c>
      <c r="U199" s="25"/>
    </row>
    <row r="200" spans="1:21" ht="45" customHeight="1" x14ac:dyDescent="0.25">
      <c r="A200" s="43">
        <v>199</v>
      </c>
      <c r="B200" s="43" t="s">
        <v>213</v>
      </c>
      <c r="C200" s="43" t="s">
        <v>213</v>
      </c>
      <c r="D200" s="42" t="s">
        <v>5</v>
      </c>
      <c r="E200" s="44" t="s">
        <v>550</v>
      </c>
      <c r="F200" s="44" t="s">
        <v>1027</v>
      </c>
      <c r="G200" s="43" t="s">
        <v>573</v>
      </c>
      <c r="H200" s="44" t="s">
        <v>564</v>
      </c>
      <c r="I200" s="44" t="s">
        <v>1016</v>
      </c>
      <c r="J200" s="44" t="s">
        <v>578</v>
      </c>
      <c r="K200" s="44" t="s">
        <v>566</v>
      </c>
      <c r="L200" s="44" t="s">
        <v>567</v>
      </c>
      <c r="M200" s="44"/>
      <c r="N200" s="44"/>
      <c r="O200" s="44"/>
      <c r="P200" s="44" t="s">
        <v>569</v>
      </c>
      <c r="Q200" s="44" t="s">
        <v>635</v>
      </c>
      <c r="R200" s="44" t="s">
        <v>558</v>
      </c>
      <c r="S200" s="44" t="s">
        <v>559</v>
      </c>
      <c r="T200" s="44" t="s">
        <v>1028</v>
      </c>
      <c r="U200" s="44"/>
    </row>
    <row r="201" spans="1:21" ht="45" customHeight="1" x14ac:dyDescent="0.25">
      <c r="A201" s="24">
        <v>200</v>
      </c>
      <c r="B201" s="24" t="s">
        <v>214</v>
      </c>
      <c r="C201" s="24" t="s">
        <v>214</v>
      </c>
      <c r="D201" s="42" t="s">
        <v>5</v>
      </c>
      <c r="E201" s="25" t="s">
        <v>1029</v>
      </c>
      <c r="F201" s="25" t="s">
        <v>1030</v>
      </c>
      <c r="G201" s="24" t="s">
        <v>573</v>
      </c>
      <c r="H201" s="25" t="s">
        <v>564</v>
      </c>
      <c r="I201" s="25" t="s">
        <v>1016</v>
      </c>
      <c r="J201" s="25" t="s">
        <v>578</v>
      </c>
      <c r="K201" s="25" t="s">
        <v>566</v>
      </c>
      <c r="L201" s="25" t="s">
        <v>567</v>
      </c>
      <c r="M201" s="25"/>
      <c r="N201" s="25"/>
      <c r="O201" s="25"/>
      <c r="P201" s="25" t="s">
        <v>569</v>
      </c>
      <c r="Q201" s="25" t="s">
        <v>635</v>
      </c>
      <c r="R201" s="25" t="s">
        <v>558</v>
      </c>
      <c r="S201" s="25" t="s">
        <v>559</v>
      </c>
      <c r="T201" s="25" t="s">
        <v>1031</v>
      </c>
      <c r="U201" s="25"/>
    </row>
    <row r="202" spans="1:21" ht="45" customHeight="1" x14ac:dyDescent="0.25">
      <c r="A202" s="43">
        <v>201</v>
      </c>
      <c r="B202" s="43" t="s">
        <v>215</v>
      </c>
      <c r="C202" s="43" t="s">
        <v>215</v>
      </c>
      <c r="D202" s="42" t="s">
        <v>5</v>
      </c>
      <c r="E202" s="44" t="s">
        <v>550</v>
      </c>
      <c r="F202" s="44" t="s">
        <v>1032</v>
      </c>
      <c r="G202" s="43" t="s">
        <v>573</v>
      </c>
      <c r="H202" s="44" t="s">
        <v>564</v>
      </c>
      <c r="I202" s="44" t="s">
        <v>1016</v>
      </c>
      <c r="J202" s="44" t="s">
        <v>578</v>
      </c>
      <c r="K202" s="44" t="s">
        <v>566</v>
      </c>
      <c r="L202" s="44" t="s">
        <v>567</v>
      </c>
      <c r="M202" s="44"/>
      <c r="N202" s="44"/>
      <c r="O202" s="44"/>
      <c r="P202" s="44" t="s">
        <v>569</v>
      </c>
      <c r="Q202" s="44" t="s">
        <v>635</v>
      </c>
      <c r="R202" s="44" t="s">
        <v>558</v>
      </c>
      <c r="S202" s="44" t="s">
        <v>559</v>
      </c>
      <c r="T202" s="44" t="s">
        <v>1033</v>
      </c>
      <c r="U202" s="44"/>
    </row>
    <row r="203" spans="1:21" ht="45" customHeight="1" x14ac:dyDescent="0.25">
      <c r="A203" s="24">
        <v>202</v>
      </c>
      <c r="B203" s="24" t="s">
        <v>216</v>
      </c>
      <c r="C203" s="24" t="s">
        <v>216</v>
      </c>
      <c r="D203" s="42" t="s">
        <v>5</v>
      </c>
      <c r="E203" s="25" t="s">
        <v>990</v>
      </c>
      <c r="F203" s="25" t="s">
        <v>1034</v>
      </c>
      <c r="G203" s="24" t="s">
        <v>573</v>
      </c>
      <c r="H203" s="25" t="s">
        <v>610</v>
      </c>
      <c r="I203" s="25" t="s">
        <v>1016</v>
      </c>
      <c r="J203" s="25" t="s">
        <v>578</v>
      </c>
      <c r="K203" s="25" t="s">
        <v>566</v>
      </c>
      <c r="L203" s="25" t="s">
        <v>567</v>
      </c>
      <c r="M203" s="25"/>
      <c r="N203" s="25"/>
      <c r="O203" s="25"/>
      <c r="P203" s="25" t="s">
        <v>569</v>
      </c>
      <c r="Q203" s="25"/>
      <c r="R203" s="25" t="s">
        <v>558</v>
      </c>
      <c r="S203" s="25" t="s">
        <v>559</v>
      </c>
      <c r="T203" s="25" t="s">
        <v>1035</v>
      </c>
      <c r="U203" s="25"/>
    </row>
    <row r="204" spans="1:21" ht="45" customHeight="1" x14ac:dyDescent="0.25">
      <c r="A204" s="43">
        <v>203</v>
      </c>
      <c r="B204" s="43" t="s">
        <v>217</v>
      </c>
      <c r="C204" s="43" t="s">
        <v>217</v>
      </c>
      <c r="D204" s="42" t="s">
        <v>5</v>
      </c>
      <c r="E204" s="44" t="s">
        <v>1029</v>
      </c>
      <c r="F204" s="44" t="s">
        <v>1036</v>
      </c>
      <c r="G204" s="43" t="s">
        <v>573</v>
      </c>
      <c r="H204" s="44" t="s">
        <v>610</v>
      </c>
      <c r="I204" s="44" t="s">
        <v>1016</v>
      </c>
      <c r="J204" s="44" t="s">
        <v>578</v>
      </c>
      <c r="K204" s="44" t="s">
        <v>566</v>
      </c>
      <c r="L204" s="44" t="s">
        <v>567</v>
      </c>
      <c r="M204" s="44"/>
      <c r="N204" s="44"/>
      <c r="O204" s="44"/>
      <c r="P204" s="44" t="s">
        <v>569</v>
      </c>
      <c r="Q204" s="44" t="s">
        <v>635</v>
      </c>
      <c r="R204" s="44" t="s">
        <v>570</v>
      </c>
      <c r="S204" s="44" t="s">
        <v>559</v>
      </c>
      <c r="T204" s="44" t="s">
        <v>1037</v>
      </c>
      <c r="U204" s="44"/>
    </row>
    <row r="205" spans="1:21" ht="45" customHeight="1" x14ac:dyDescent="0.25">
      <c r="A205" s="24">
        <v>204</v>
      </c>
      <c r="B205" s="24" t="s">
        <v>218</v>
      </c>
      <c r="C205" s="24" t="s">
        <v>218</v>
      </c>
      <c r="D205" s="42" t="s">
        <v>5</v>
      </c>
      <c r="E205" s="25" t="s">
        <v>550</v>
      </c>
      <c r="F205" s="25" t="s">
        <v>1038</v>
      </c>
      <c r="G205" s="24" t="s">
        <v>573</v>
      </c>
      <c r="H205" s="25" t="s">
        <v>610</v>
      </c>
      <c r="I205" s="25" t="s">
        <v>1016</v>
      </c>
      <c r="J205" s="25" t="s">
        <v>578</v>
      </c>
      <c r="K205" s="25" t="s">
        <v>566</v>
      </c>
      <c r="L205" s="25" t="s">
        <v>567</v>
      </c>
      <c r="M205" s="25"/>
      <c r="N205" s="25"/>
      <c r="O205" s="25"/>
      <c r="P205" s="25" t="s">
        <v>569</v>
      </c>
      <c r="Q205" s="25"/>
      <c r="R205" s="25" t="s">
        <v>558</v>
      </c>
      <c r="S205" s="25" t="s">
        <v>559</v>
      </c>
      <c r="T205" s="25" t="s">
        <v>1039</v>
      </c>
      <c r="U205" s="25"/>
    </row>
    <row r="206" spans="1:21" ht="45" customHeight="1" x14ac:dyDescent="0.25">
      <c r="A206" s="43">
        <v>205</v>
      </c>
      <c r="B206" s="43" t="s">
        <v>219</v>
      </c>
      <c r="C206" s="43" t="s">
        <v>219</v>
      </c>
      <c r="D206" s="42" t="s">
        <v>5</v>
      </c>
      <c r="E206" s="44" t="s">
        <v>298</v>
      </c>
      <c r="F206" s="44" t="s">
        <v>1040</v>
      </c>
      <c r="G206" s="42" t="s">
        <v>552</v>
      </c>
      <c r="H206" s="44" t="s">
        <v>610</v>
      </c>
      <c r="I206" s="44" t="s">
        <v>1016</v>
      </c>
      <c r="J206" s="44" t="s">
        <v>578</v>
      </c>
      <c r="K206" s="44" t="s">
        <v>566</v>
      </c>
      <c r="L206" s="44" t="s">
        <v>567</v>
      </c>
      <c r="M206" s="44"/>
      <c r="N206" s="44"/>
      <c r="O206" s="44"/>
      <c r="P206" s="44" t="s">
        <v>569</v>
      </c>
      <c r="Q206" s="44"/>
      <c r="R206" s="44" t="s">
        <v>570</v>
      </c>
      <c r="S206" s="44" t="s">
        <v>559</v>
      </c>
      <c r="T206" s="44" t="s">
        <v>1041</v>
      </c>
      <c r="U206" s="44" t="s">
        <v>561</v>
      </c>
    </row>
    <row r="207" spans="1:21" ht="45" customHeight="1" x14ac:dyDescent="0.25">
      <c r="A207" s="24">
        <v>206</v>
      </c>
      <c r="B207" s="24" t="s">
        <v>220</v>
      </c>
      <c r="C207" s="24" t="s">
        <v>220</v>
      </c>
      <c r="D207" s="42" t="s">
        <v>5</v>
      </c>
      <c r="E207" s="25" t="s">
        <v>1042</v>
      </c>
      <c r="F207" s="25" t="s">
        <v>1043</v>
      </c>
      <c r="G207" s="24" t="s">
        <v>573</v>
      </c>
      <c r="H207" s="25" t="s">
        <v>553</v>
      </c>
      <c r="I207" s="25" t="s">
        <v>1016</v>
      </c>
      <c r="J207" s="25" t="s">
        <v>555</v>
      </c>
      <c r="K207" s="25" t="s">
        <v>556</v>
      </c>
      <c r="L207" s="25" t="s">
        <v>557</v>
      </c>
      <c r="M207" s="25"/>
      <c r="N207" s="25"/>
      <c r="O207" s="25"/>
      <c r="P207" s="25"/>
      <c r="Q207" s="25"/>
      <c r="R207" s="25" t="s">
        <v>558</v>
      </c>
      <c r="S207" s="25" t="s">
        <v>559</v>
      </c>
      <c r="T207" s="25" t="s">
        <v>1044</v>
      </c>
      <c r="U207" s="25"/>
    </row>
    <row r="208" spans="1:21" ht="45" customHeight="1" x14ac:dyDescent="0.25">
      <c r="A208" s="43">
        <v>207</v>
      </c>
      <c r="B208" s="43" t="s">
        <v>221</v>
      </c>
      <c r="C208" s="43" t="s">
        <v>221</v>
      </c>
      <c r="D208" s="42" t="s">
        <v>5</v>
      </c>
      <c r="E208" s="44" t="s">
        <v>990</v>
      </c>
      <c r="F208" s="44" t="s">
        <v>1045</v>
      </c>
      <c r="G208" s="43" t="s">
        <v>573</v>
      </c>
      <c r="H208" s="44" t="s">
        <v>610</v>
      </c>
      <c r="I208" s="44" t="s">
        <v>1016</v>
      </c>
      <c r="J208" s="44" t="s">
        <v>578</v>
      </c>
      <c r="K208" s="44" t="s">
        <v>992</v>
      </c>
      <c r="L208" s="44" t="s">
        <v>1046</v>
      </c>
      <c r="M208" s="44" t="s">
        <v>1047</v>
      </c>
      <c r="N208" s="44"/>
      <c r="O208" s="44"/>
      <c r="P208" s="44" t="s">
        <v>569</v>
      </c>
      <c r="Q208" s="44"/>
      <c r="R208" s="44" t="s">
        <v>558</v>
      </c>
      <c r="S208" s="44" t="s">
        <v>1048</v>
      </c>
      <c r="T208" s="44" t="s">
        <v>1049</v>
      </c>
      <c r="U208" s="44" t="s">
        <v>1050</v>
      </c>
    </row>
    <row r="209" spans="1:21" ht="45" customHeight="1" x14ac:dyDescent="0.25">
      <c r="A209" s="24">
        <v>208</v>
      </c>
      <c r="B209" s="24" t="s">
        <v>222</v>
      </c>
      <c r="C209" s="24" t="s">
        <v>222</v>
      </c>
      <c r="D209" s="42" t="s">
        <v>5</v>
      </c>
      <c r="E209" s="25" t="s">
        <v>550</v>
      </c>
      <c r="F209" s="25" t="s">
        <v>1051</v>
      </c>
      <c r="G209" s="24" t="s">
        <v>573</v>
      </c>
      <c r="H209" s="25" t="s">
        <v>610</v>
      </c>
      <c r="I209" s="25" t="s">
        <v>1016</v>
      </c>
      <c r="J209" s="25" t="s">
        <v>578</v>
      </c>
      <c r="K209" s="25" t="s">
        <v>566</v>
      </c>
      <c r="L209" s="25" t="s">
        <v>567</v>
      </c>
      <c r="M209" s="25"/>
      <c r="N209" s="25"/>
      <c r="O209" s="25"/>
      <c r="P209" s="25" t="s">
        <v>569</v>
      </c>
      <c r="Q209" s="25"/>
      <c r="R209" s="25" t="s">
        <v>570</v>
      </c>
      <c r="S209" s="25" t="s">
        <v>559</v>
      </c>
      <c r="T209" s="25" t="s">
        <v>1052</v>
      </c>
      <c r="U209" s="25"/>
    </row>
    <row r="210" spans="1:21" ht="45" customHeight="1" x14ac:dyDescent="0.25">
      <c r="A210" s="43">
        <v>209</v>
      </c>
      <c r="B210" s="43" t="s">
        <v>223</v>
      </c>
      <c r="C210" s="43" t="s">
        <v>223</v>
      </c>
      <c r="D210" s="42" t="s">
        <v>5</v>
      </c>
      <c r="E210" s="44" t="s">
        <v>550</v>
      </c>
      <c r="F210" s="44" t="s">
        <v>1053</v>
      </c>
      <c r="G210" s="43" t="s">
        <v>573</v>
      </c>
      <c r="H210" s="44" t="s">
        <v>553</v>
      </c>
      <c r="I210" s="44" t="s">
        <v>1016</v>
      </c>
      <c r="J210" s="44" t="s">
        <v>555</v>
      </c>
      <c r="K210" s="44" t="s">
        <v>566</v>
      </c>
      <c r="L210" s="44" t="s">
        <v>567</v>
      </c>
      <c r="M210" s="44"/>
      <c r="N210" s="44"/>
      <c r="O210" s="44"/>
      <c r="P210" s="44" t="s">
        <v>569</v>
      </c>
      <c r="Q210" s="44"/>
      <c r="R210" s="44" t="s">
        <v>558</v>
      </c>
      <c r="S210" s="44" t="s">
        <v>559</v>
      </c>
      <c r="T210" s="44" t="s">
        <v>1054</v>
      </c>
      <c r="U210" s="44"/>
    </row>
    <row r="211" spans="1:21" ht="45" customHeight="1" x14ac:dyDescent="0.25">
      <c r="A211" s="24">
        <v>210</v>
      </c>
      <c r="B211" s="24" t="s">
        <v>224</v>
      </c>
      <c r="C211" s="24" t="s">
        <v>224</v>
      </c>
      <c r="D211" s="42" t="s">
        <v>5</v>
      </c>
      <c r="E211" s="25" t="s">
        <v>550</v>
      </c>
      <c r="F211" s="25" t="s">
        <v>1055</v>
      </c>
      <c r="G211" s="24" t="s">
        <v>573</v>
      </c>
      <c r="H211" s="25" t="s">
        <v>564</v>
      </c>
      <c r="I211" s="25" t="s">
        <v>1016</v>
      </c>
      <c r="J211" s="25" t="s">
        <v>565</v>
      </c>
      <c r="K211" s="25" t="s">
        <v>566</v>
      </c>
      <c r="L211" s="25" t="s">
        <v>567</v>
      </c>
      <c r="M211" s="25"/>
      <c r="N211" s="25"/>
      <c r="O211" s="25"/>
      <c r="P211" s="25" t="s">
        <v>569</v>
      </c>
      <c r="Q211" s="25"/>
      <c r="R211" s="25" t="s">
        <v>558</v>
      </c>
      <c r="S211" s="25" t="s">
        <v>559</v>
      </c>
      <c r="T211" s="25" t="s">
        <v>1056</v>
      </c>
      <c r="U211" s="25"/>
    </row>
    <row r="212" spans="1:21" ht="45" customHeight="1" x14ac:dyDescent="0.25">
      <c r="A212" s="43">
        <v>211</v>
      </c>
      <c r="B212" s="43" t="s">
        <v>225</v>
      </c>
      <c r="C212" s="43" t="s">
        <v>225</v>
      </c>
      <c r="D212" s="42" t="s">
        <v>5</v>
      </c>
      <c r="E212" s="44" t="s">
        <v>550</v>
      </c>
      <c r="F212" s="44" t="s">
        <v>1057</v>
      </c>
      <c r="G212" s="43" t="s">
        <v>573</v>
      </c>
      <c r="H212" s="44" t="s">
        <v>564</v>
      </c>
      <c r="I212" s="44" t="s">
        <v>1016</v>
      </c>
      <c r="J212" s="44" t="s">
        <v>565</v>
      </c>
      <c r="K212" s="44" t="s">
        <v>566</v>
      </c>
      <c r="L212" s="44" t="s">
        <v>567</v>
      </c>
      <c r="M212" s="44"/>
      <c r="N212" s="44"/>
      <c r="O212" s="44"/>
      <c r="P212" s="44" t="s">
        <v>569</v>
      </c>
      <c r="Q212" s="44"/>
      <c r="R212" s="44" t="s">
        <v>558</v>
      </c>
      <c r="S212" s="44" t="s">
        <v>559</v>
      </c>
      <c r="T212" s="44" t="s">
        <v>1058</v>
      </c>
      <c r="U212" s="44"/>
    </row>
    <row r="213" spans="1:21" ht="45" customHeight="1" x14ac:dyDescent="0.25">
      <c r="A213" s="24">
        <v>212</v>
      </c>
      <c r="B213" s="24" t="s">
        <v>226</v>
      </c>
      <c r="C213" s="24" t="s">
        <v>226</v>
      </c>
      <c r="D213" s="42" t="s">
        <v>5</v>
      </c>
      <c r="E213" s="25" t="s">
        <v>550</v>
      </c>
      <c r="F213" s="25" t="s">
        <v>1059</v>
      </c>
      <c r="G213" s="24" t="s">
        <v>573</v>
      </c>
      <c r="H213" s="25" t="s">
        <v>564</v>
      </c>
      <c r="I213" s="25" t="s">
        <v>1016</v>
      </c>
      <c r="J213" s="25" t="s">
        <v>565</v>
      </c>
      <c r="K213" s="25" t="s">
        <v>566</v>
      </c>
      <c r="L213" s="25" t="s">
        <v>567</v>
      </c>
      <c r="M213" s="25"/>
      <c r="N213" s="25"/>
      <c r="O213" s="25"/>
      <c r="P213" s="25" t="s">
        <v>569</v>
      </c>
      <c r="Q213" s="25"/>
      <c r="R213" s="25" t="s">
        <v>558</v>
      </c>
      <c r="S213" s="25" t="s">
        <v>559</v>
      </c>
      <c r="T213" s="25" t="s">
        <v>1060</v>
      </c>
      <c r="U213" s="25"/>
    </row>
    <row r="214" spans="1:21" ht="45" customHeight="1" x14ac:dyDescent="0.25">
      <c r="A214" s="43">
        <v>213</v>
      </c>
      <c r="B214" s="43" t="s">
        <v>227</v>
      </c>
      <c r="C214" s="43" t="s">
        <v>227</v>
      </c>
      <c r="D214" s="42" t="s">
        <v>5</v>
      </c>
      <c r="E214" s="44" t="s">
        <v>1061</v>
      </c>
      <c r="F214" s="44" t="s">
        <v>1062</v>
      </c>
      <c r="G214" s="43" t="s">
        <v>573</v>
      </c>
      <c r="H214" s="44" t="s">
        <v>610</v>
      </c>
      <c r="I214" s="44" t="s">
        <v>1016</v>
      </c>
      <c r="J214" s="44" t="s">
        <v>578</v>
      </c>
      <c r="K214" s="44" t="s">
        <v>566</v>
      </c>
      <c r="L214" s="44" t="s">
        <v>567</v>
      </c>
      <c r="M214" s="44"/>
      <c r="N214" s="44"/>
      <c r="O214" s="44"/>
      <c r="P214" s="44" t="s">
        <v>569</v>
      </c>
      <c r="Q214" s="44"/>
      <c r="R214" s="44" t="s">
        <v>558</v>
      </c>
      <c r="S214" s="44" t="s">
        <v>559</v>
      </c>
      <c r="T214" s="44" t="s">
        <v>1063</v>
      </c>
      <c r="U214" s="44"/>
    </row>
    <row r="215" spans="1:21" ht="45" customHeight="1" x14ac:dyDescent="0.25">
      <c r="A215" s="24">
        <v>214</v>
      </c>
      <c r="B215" s="24" t="s">
        <v>228</v>
      </c>
      <c r="C215" s="24" t="s">
        <v>228</v>
      </c>
      <c r="D215" s="42" t="s">
        <v>5</v>
      </c>
      <c r="E215" s="25" t="s">
        <v>550</v>
      </c>
      <c r="F215" s="25" t="s">
        <v>1064</v>
      </c>
      <c r="G215" s="24" t="s">
        <v>573</v>
      </c>
      <c r="H215" s="25" t="s">
        <v>553</v>
      </c>
      <c r="I215" s="25" t="s">
        <v>1016</v>
      </c>
      <c r="J215" s="25" t="s">
        <v>555</v>
      </c>
      <c r="K215" s="25" t="s">
        <v>556</v>
      </c>
      <c r="L215" s="25" t="s">
        <v>567</v>
      </c>
      <c r="M215" s="25"/>
      <c r="N215" s="25"/>
      <c r="O215" s="25"/>
      <c r="P215" s="25" t="s">
        <v>569</v>
      </c>
      <c r="Q215" s="25"/>
      <c r="R215" s="25" t="s">
        <v>558</v>
      </c>
      <c r="S215" s="25" t="s">
        <v>559</v>
      </c>
      <c r="T215" s="25" t="s">
        <v>1065</v>
      </c>
      <c r="U215" s="25"/>
    </row>
    <row r="216" spans="1:21" ht="45" customHeight="1" x14ac:dyDescent="0.25">
      <c r="A216" s="43">
        <v>215</v>
      </c>
      <c r="B216" s="43" t="s">
        <v>229</v>
      </c>
      <c r="C216" s="43" t="s">
        <v>229</v>
      </c>
      <c r="D216" s="42" t="s">
        <v>5</v>
      </c>
      <c r="E216" s="44" t="s">
        <v>1066</v>
      </c>
      <c r="F216" s="44" t="s">
        <v>1067</v>
      </c>
      <c r="G216" s="43" t="s">
        <v>573</v>
      </c>
      <c r="H216" s="44" t="s">
        <v>610</v>
      </c>
      <c r="I216" s="44" t="s">
        <v>1016</v>
      </c>
      <c r="J216" s="44" t="s">
        <v>578</v>
      </c>
      <c r="K216" s="44" t="s">
        <v>1068</v>
      </c>
      <c r="L216" s="44" t="s">
        <v>567</v>
      </c>
      <c r="M216" s="44"/>
      <c r="N216" s="44"/>
      <c r="O216" s="44"/>
      <c r="P216" s="44" t="s">
        <v>569</v>
      </c>
      <c r="Q216" s="44"/>
      <c r="R216" s="44" t="s">
        <v>558</v>
      </c>
      <c r="S216" s="44" t="s">
        <v>559</v>
      </c>
      <c r="T216" s="44" t="s">
        <v>1069</v>
      </c>
      <c r="U216" s="44"/>
    </row>
    <row r="217" spans="1:21" ht="45" customHeight="1" x14ac:dyDescent="0.25">
      <c r="A217" s="24">
        <v>216</v>
      </c>
      <c r="B217" s="24" t="s">
        <v>230</v>
      </c>
      <c r="C217" s="24" t="s">
        <v>230</v>
      </c>
      <c r="D217" s="42" t="s">
        <v>5</v>
      </c>
      <c r="E217" s="25" t="s">
        <v>1066</v>
      </c>
      <c r="F217" s="25" t="s">
        <v>1070</v>
      </c>
      <c r="G217" s="24" t="s">
        <v>573</v>
      </c>
      <c r="H217" s="25" t="s">
        <v>564</v>
      </c>
      <c r="I217" s="25" t="s">
        <v>1016</v>
      </c>
      <c r="J217" s="25" t="s">
        <v>565</v>
      </c>
      <c r="K217" s="25" t="s">
        <v>566</v>
      </c>
      <c r="L217" s="25" t="s">
        <v>567</v>
      </c>
      <c r="M217" s="25"/>
      <c r="N217" s="25"/>
      <c r="O217" s="25"/>
      <c r="P217" s="25" t="s">
        <v>569</v>
      </c>
      <c r="Q217" s="25"/>
      <c r="R217" s="25" t="s">
        <v>558</v>
      </c>
      <c r="S217" s="25" t="s">
        <v>559</v>
      </c>
      <c r="T217" s="25" t="s">
        <v>1071</v>
      </c>
      <c r="U217" s="25"/>
    </row>
    <row r="218" spans="1:21" ht="45" customHeight="1" x14ac:dyDescent="0.25">
      <c r="A218" s="43">
        <v>217</v>
      </c>
      <c r="B218" s="43" t="s">
        <v>231</v>
      </c>
      <c r="C218" s="43" t="s">
        <v>231</v>
      </c>
      <c r="D218" s="42" t="s">
        <v>5</v>
      </c>
      <c r="E218" s="44" t="s">
        <v>1066</v>
      </c>
      <c r="F218" s="44" t="s">
        <v>1072</v>
      </c>
      <c r="G218" s="43" t="s">
        <v>573</v>
      </c>
      <c r="H218" s="44" t="s">
        <v>610</v>
      </c>
      <c r="I218" s="44" t="s">
        <v>1016</v>
      </c>
      <c r="J218" s="44" t="s">
        <v>578</v>
      </c>
      <c r="K218" s="44" t="s">
        <v>1068</v>
      </c>
      <c r="L218" s="44" t="s">
        <v>567</v>
      </c>
      <c r="M218" s="44"/>
      <c r="N218" s="44"/>
      <c r="O218" s="44"/>
      <c r="P218" s="44" t="s">
        <v>569</v>
      </c>
      <c r="Q218" s="44"/>
      <c r="R218" s="44" t="s">
        <v>558</v>
      </c>
      <c r="S218" s="44" t="s">
        <v>559</v>
      </c>
      <c r="T218" s="44" t="s">
        <v>1073</v>
      </c>
      <c r="U218" s="44"/>
    </row>
    <row r="219" spans="1:21" ht="45" customHeight="1" x14ac:dyDescent="0.25">
      <c r="A219" s="24">
        <v>218</v>
      </c>
      <c r="B219" s="24" t="s">
        <v>232</v>
      </c>
      <c r="C219" s="24" t="s">
        <v>232</v>
      </c>
      <c r="D219" s="42" t="s">
        <v>5</v>
      </c>
      <c r="E219" s="25" t="s">
        <v>1074</v>
      </c>
      <c r="F219" s="25" t="s">
        <v>1075</v>
      </c>
      <c r="G219" s="24" t="s">
        <v>573</v>
      </c>
      <c r="H219" s="25" t="s">
        <v>564</v>
      </c>
      <c r="I219" s="25" t="s">
        <v>1016</v>
      </c>
      <c r="J219" s="25" t="s">
        <v>565</v>
      </c>
      <c r="K219" s="25" t="s">
        <v>566</v>
      </c>
      <c r="L219" s="25" t="s">
        <v>567</v>
      </c>
      <c r="M219" s="25"/>
      <c r="N219" s="25"/>
      <c r="O219" s="25"/>
      <c r="P219" s="25" t="s">
        <v>569</v>
      </c>
      <c r="Q219" s="25"/>
      <c r="R219" s="25" t="s">
        <v>558</v>
      </c>
      <c r="S219" s="25" t="s">
        <v>559</v>
      </c>
      <c r="T219" s="25" t="s">
        <v>1076</v>
      </c>
      <c r="U219" s="25"/>
    </row>
    <row r="220" spans="1:21" ht="45" customHeight="1" x14ac:dyDescent="0.25">
      <c r="A220" s="43">
        <v>219</v>
      </c>
      <c r="B220" s="43" t="s">
        <v>233</v>
      </c>
      <c r="C220" s="43" t="s">
        <v>233</v>
      </c>
      <c r="D220" s="42" t="s">
        <v>5</v>
      </c>
      <c r="E220" s="44" t="s">
        <v>1074</v>
      </c>
      <c r="F220" s="44" t="s">
        <v>1077</v>
      </c>
      <c r="G220" s="43" t="s">
        <v>573</v>
      </c>
      <c r="H220" s="44" t="s">
        <v>564</v>
      </c>
      <c r="I220" s="44" t="s">
        <v>1016</v>
      </c>
      <c r="J220" s="44" t="s">
        <v>578</v>
      </c>
      <c r="K220" s="44" t="s">
        <v>1078</v>
      </c>
      <c r="L220" s="44" t="s">
        <v>567</v>
      </c>
      <c r="M220" s="44"/>
      <c r="N220" s="44"/>
      <c r="O220" s="44"/>
      <c r="P220" s="44" t="s">
        <v>569</v>
      </c>
      <c r="Q220" s="44"/>
      <c r="R220" s="44" t="s">
        <v>558</v>
      </c>
      <c r="S220" s="44" t="s">
        <v>559</v>
      </c>
      <c r="T220" s="44" t="s">
        <v>1079</v>
      </c>
      <c r="U220" s="44"/>
    </row>
    <row r="221" spans="1:21" ht="45" customHeight="1" x14ac:dyDescent="0.25">
      <c r="A221" s="24">
        <v>220</v>
      </c>
      <c r="B221" s="24" t="s">
        <v>234</v>
      </c>
      <c r="C221" s="24" t="s">
        <v>234</v>
      </c>
      <c r="D221" s="42" t="s">
        <v>5</v>
      </c>
      <c r="E221" s="25" t="s">
        <v>550</v>
      </c>
      <c r="F221" s="25" t="s">
        <v>1080</v>
      </c>
      <c r="G221" s="24" t="s">
        <v>573</v>
      </c>
      <c r="H221" s="25" t="s">
        <v>564</v>
      </c>
      <c r="I221" s="25" t="s">
        <v>1016</v>
      </c>
      <c r="J221" s="25" t="s">
        <v>565</v>
      </c>
      <c r="K221" s="25" t="s">
        <v>566</v>
      </c>
      <c r="L221" s="25" t="s">
        <v>567</v>
      </c>
      <c r="M221" s="25"/>
      <c r="N221" s="25"/>
      <c r="O221" s="25"/>
      <c r="P221" s="25" t="s">
        <v>569</v>
      </c>
      <c r="Q221" s="25"/>
      <c r="R221" s="25" t="s">
        <v>558</v>
      </c>
      <c r="S221" s="25" t="s">
        <v>559</v>
      </c>
      <c r="T221" s="25" t="s">
        <v>1081</v>
      </c>
      <c r="U221" s="25"/>
    </row>
    <row r="222" spans="1:21" ht="45" customHeight="1" x14ac:dyDescent="0.25">
      <c r="A222" s="43">
        <v>221</v>
      </c>
      <c r="B222" s="43" t="s">
        <v>235</v>
      </c>
      <c r="C222" s="43" t="s">
        <v>235</v>
      </c>
      <c r="D222" s="42" t="s">
        <v>5</v>
      </c>
      <c r="E222" s="44" t="s">
        <v>550</v>
      </c>
      <c r="F222" s="44" t="s">
        <v>1082</v>
      </c>
      <c r="G222" s="43" t="s">
        <v>573</v>
      </c>
      <c r="H222" s="44" t="s">
        <v>564</v>
      </c>
      <c r="I222" s="44" t="s">
        <v>1016</v>
      </c>
      <c r="J222" s="44" t="s">
        <v>565</v>
      </c>
      <c r="K222" s="44" t="s">
        <v>566</v>
      </c>
      <c r="L222" s="44" t="s">
        <v>567</v>
      </c>
      <c r="M222" s="44"/>
      <c r="N222" s="44"/>
      <c r="O222" s="44"/>
      <c r="P222" s="44" t="s">
        <v>569</v>
      </c>
      <c r="Q222" s="44"/>
      <c r="R222" s="44" t="s">
        <v>558</v>
      </c>
      <c r="S222" s="44" t="s">
        <v>559</v>
      </c>
      <c r="T222" s="44" t="s">
        <v>1083</v>
      </c>
      <c r="U222" s="44"/>
    </row>
    <row r="223" spans="1:21" ht="45" customHeight="1" x14ac:dyDescent="0.25">
      <c r="A223" s="24">
        <v>222</v>
      </c>
      <c r="B223" s="24" t="s">
        <v>236</v>
      </c>
      <c r="C223" s="24" t="s">
        <v>236</v>
      </c>
      <c r="D223" s="42" t="s">
        <v>5</v>
      </c>
      <c r="E223" s="25" t="s">
        <v>1074</v>
      </c>
      <c r="F223" s="25" t="s">
        <v>1084</v>
      </c>
      <c r="G223" s="24" t="s">
        <v>573</v>
      </c>
      <c r="H223" s="25" t="s">
        <v>610</v>
      </c>
      <c r="I223" s="25" t="s">
        <v>1016</v>
      </c>
      <c r="J223" s="25" t="s">
        <v>578</v>
      </c>
      <c r="K223" s="25" t="s">
        <v>1078</v>
      </c>
      <c r="L223" s="25" t="s">
        <v>567</v>
      </c>
      <c r="M223" s="25"/>
      <c r="N223" s="25"/>
      <c r="O223" s="25"/>
      <c r="P223" s="25" t="s">
        <v>569</v>
      </c>
      <c r="Q223" s="25"/>
      <c r="R223" s="25" t="s">
        <v>558</v>
      </c>
      <c r="S223" s="25" t="s">
        <v>559</v>
      </c>
      <c r="T223" s="25" t="s">
        <v>1085</v>
      </c>
      <c r="U223" s="25"/>
    </row>
    <row r="224" spans="1:21" ht="45" customHeight="1" x14ac:dyDescent="0.25">
      <c r="A224" s="43">
        <v>223</v>
      </c>
      <c r="B224" s="43" t="s">
        <v>237</v>
      </c>
      <c r="C224" s="43" t="s">
        <v>237</v>
      </c>
      <c r="D224" s="42" t="s">
        <v>5</v>
      </c>
      <c r="E224" s="44" t="s">
        <v>990</v>
      </c>
      <c r="F224" s="44" t="s">
        <v>1086</v>
      </c>
      <c r="G224" s="43" t="s">
        <v>573</v>
      </c>
      <c r="H224" s="44" t="s">
        <v>564</v>
      </c>
      <c r="I224" s="44" t="s">
        <v>1016</v>
      </c>
      <c r="J224" s="44" t="s">
        <v>565</v>
      </c>
      <c r="K224" s="44" t="s">
        <v>566</v>
      </c>
      <c r="L224" s="44" t="s">
        <v>567</v>
      </c>
      <c r="M224" s="44"/>
      <c r="N224" s="44"/>
      <c r="O224" s="44"/>
      <c r="P224" s="44" t="s">
        <v>569</v>
      </c>
      <c r="Q224" s="44"/>
      <c r="R224" s="44" t="s">
        <v>558</v>
      </c>
      <c r="S224" s="44" t="s">
        <v>559</v>
      </c>
      <c r="T224" s="44" t="s">
        <v>1087</v>
      </c>
      <c r="U224" s="44"/>
    </row>
    <row r="225" spans="1:21" ht="45" customHeight="1" x14ac:dyDescent="0.25">
      <c r="A225" s="24">
        <v>224</v>
      </c>
      <c r="B225" s="24" t="s">
        <v>238</v>
      </c>
      <c r="C225" s="24" t="s">
        <v>238</v>
      </c>
      <c r="D225" s="42" t="s">
        <v>5</v>
      </c>
      <c r="E225" s="25" t="s">
        <v>990</v>
      </c>
      <c r="F225" s="25" t="s">
        <v>1088</v>
      </c>
      <c r="G225" s="24" t="s">
        <v>573</v>
      </c>
      <c r="H225" s="25" t="s">
        <v>564</v>
      </c>
      <c r="I225" s="25" t="s">
        <v>1016</v>
      </c>
      <c r="J225" s="25" t="s">
        <v>578</v>
      </c>
      <c r="K225" s="25" t="s">
        <v>992</v>
      </c>
      <c r="L225" s="25" t="s">
        <v>696</v>
      </c>
      <c r="M225" s="25"/>
      <c r="N225" s="25"/>
      <c r="O225" s="25"/>
      <c r="P225" s="25"/>
      <c r="Q225" s="25" t="s">
        <v>635</v>
      </c>
      <c r="R225" s="25" t="s">
        <v>558</v>
      </c>
      <c r="S225" s="25" t="s">
        <v>1048</v>
      </c>
      <c r="T225" s="25" t="s">
        <v>1089</v>
      </c>
      <c r="U225" s="25"/>
    </row>
    <row r="226" spans="1:21" ht="45" customHeight="1" x14ac:dyDescent="0.25">
      <c r="A226" s="43">
        <v>225</v>
      </c>
      <c r="B226" s="43" t="s">
        <v>239</v>
      </c>
      <c r="C226" s="43" t="s">
        <v>239</v>
      </c>
      <c r="D226" s="42" t="s">
        <v>5</v>
      </c>
      <c r="E226" s="44" t="s">
        <v>550</v>
      </c>
      <c r="F226" s="44" t="s">
        <v>1090</v>
      </c>
      <c r="G226" s="43" t="s">
        <v>573</v>
      </c>
      <c r="H226" s="44" t="s">
        <v>610</v>
      </c>
      <c r="I226" s="44" t="s">
        <v>1016</v>
      </c>
      <c r="J226" s="44" t="s">
        <v>578</v>
      </c>
      <c r="K226" s="44" t="s">
        <v>566</v>
      </c>
      <c r="L226" s="44" t="s">
        <v>567</v>
      </c>
      <c r="M226" s="44"/>
      <c r="N226" s="44"/>
      <c r="O226" s="44"/>
      <c r="P226" s="44" t="s">
        <v>569</v>
      </c>
      <c r="Q226" s="44"/>
      <c r="R226" s="44" t="s">
        <v>558</v>
      </c>
      <c r="S226" s="44" t="s">
        <v>559</v>
      </c>
      <c r="T226" s="44" t="s">
        <v>1091</v>
      </c>
      <c r="U226" s="44"/>
    </row>
    <row r="227" spans="1:21" ht="45" customHeight="1" x14ac:dyDescent="0.25">
      <c r="A227" s="24">
        <v>226</v>
      </c>
      <c r="B227" s="24" t="s">
        <v>240</v>
      </c>
      <c r="C227" s="24" t="s">
        <v>240</v>
      </c>
      <c r="D227" s="42" t="s">
        <v>5</v>
      </c>
      <c r="E227" s="25" t="s">
        <v>990</v>
      </c>
      <c r="F227" s="25" t="s">
        <v>1092</v>
      </c>
      <c r="G227" s="24" t="s">
        <v>573</v>
      </c>
      <c r="H227" s="25" t="s">
        <v>610</v>
      </c>
      <c r="I227" s="25" t="s">
        <v>1016</v>
      </c>
      <c r="J227" s="25" t="s">
        <v>578</v>
      </c>
      <c r="K227" s="25" t="s">
        <v>566</v>
      </c>
      <c r="L227" s="25" t="s">
        <v>567</v>
      </c>
      <c r="M227" s="25"/>
      <c r="N227" s="25"/>
      <c r="O227" s="25"/>
      <c r="P227" s="25" t="s">
        <v>569</v>
      </c>
      <c r="Q227" s="25"/>
      <c r="R227" s="25" t="s">
        <v>558</v>
      </c>
      <c r="S227" s="25" t="s">
        <v>559</v>
      </c>
      <c r="T227" s="25" t="s">
        <v>1093</v>
      </c>
      <c r="U227" s="25"/>
    </row>
    <row r="228" spans="1:21" ht="45" customHeight="1" x14ac:dyDescent="0.25">
      <c r="A228" s="43">
        <v>227</v>
      </c>
      <c r="B228" s="43" t="s">
        <v>241</v>
      </c>
      <c r="C228" s="43" t="s">
        <v>241</v>
      </c>
      <c r="D228" s="42" t="s">
        <v>5</v>
      </c>
      <c r="E228" s="44" t="s">
        <v>990</v>
      </c>
      <c r="F228" s="44" t="s">
        <v>1094</v>
      </c>
      <c r="G228" s="43" t="s">
        <v>573</v>
      </c>
      <c r="H228" s="44" t="s">
        <v>564</v>
      </c>
      <c r="I228" s="44" t="s">
        <v>1016</v>
      </c>
      <c r="J228" s="44" t="s">
        <v>578</v>
      </c>
      <c r="K228" s="44" t="s">
        <v>992</v>
      </c>
      <c r="L228" s="44" t="s">
        <v>1046</v>
      </c>
      <c r="M228" s="44" t="s">
        <v>1047</v>
      </c>
      <c r="N228" s="44"/>
      <c r="O228" s="44"/>
      <c r="P228" s="44"/>
      <c r="Q228" s="44" t="s">
        <v>635</v>
      </c>
      <c r="R228" s="44" t="s">
        <v>558</v>
      </c>
      <c r="S228" s="44" t="s">
        <v>1048</v>
      </c>
      <c r="T228" s="44" t="s">
        <v>1095</v>
      </c>
      <c r="U228" s="44" t="s">
        <v>1050</v>
      </c>
    </row>
    <row r="229" spans="1:21" ht="45" customHeight="1" x14ac:dyDescent="0.25">
      <c r="A229" s="24">
        <v>228</v>
      </c>
      <c r="B229" s="24" t="s">
        <v>242</v>
      </c>
      <c r="C229" s="24" t="s">
        <v>242</v>
      </c>
      <c r="D229" s="42" t="s">
        <v>5</v>
      </c>
      <c r="E229" s="25" t="s">
        <v>990</v>
      </c>
      <c r="F229" s="25" t="s">
        <v>1096</v>
      </c>
      <c r="G229" s="24" t="s">
        <v>573</v>
      </c>
      <c r="H229" s="25" t="s">
        <v>564</v>
      </c>
      <c r="I229" s="25" t="s">
        <v>1016</v>
      </c>
      <c r="J229" s="25" t="s">
        <v>565</v>
      </c>
      <c r="K229" s="25" t="s">
        <v>566</v>
      </c>
      <c r="L229" s="25" t="s">
        <v>567</v>
      </c>
      <c r="M229" s="25"/>
      <c r="N229" s="25"/>
      <c r="O229" s="25"/>
      <c r="P229" s="25" t="s">
        <v>569</v>
      </c>
      <c r="Q229" s="25"/>
      <c r="R229" s="25" t="s">
        <v>558</v>
      </c>
      <c r="S229" s="25" t="s">
        <v>559</v>
      </c>
      <c r="T229" s="25" t="s">
        <v>1097</v>
      </c>
      <c r="U229" s="25"/>
    </row>
    <row r="230" spans="1:21" ht="45" customHeight="1" x14ac:dyDescent="0.25">
      <c r="A230" s="43">
        <v>229</v>
      </c>
      <c r="B230" s="43" t="s">
        <v>243</v>
      </c>
      <c r="C230" s="43" t="s">
        <v>243</v>
      </c>
      <c r="D230" s="42" t="s">
        <v>5</v>
      </c>
      <c r="E230" s="44" t="s">
        <v>550</v>
      </c>
      <c r="F230" s="44" t="s">
        <v>1098</v>
      </c>
      <c r="G230" s="43" t="s">
        <v>573</v>
      </c>
      <c r="H230" s="44" t="s">
        <v>553</v>
      </c>
      <c r="I230" s="44" t="s">
        <v>1016</v>
      </c>
      <c r="J230" s="44" t="s">
        <v>555</v>
      </c>
      <c r="K230" s="44" t="s">
        <v>556</v>
      </c>
      <c r="L230" s="44" t="s">
        <v>557</v>
      </c>
      <c r="M230" s="44"/>
      <c r="N230" s="44"/>
      <c r="O230" s="44"/>
      <c r="P230" s="44"/>
      <c r="Q230" s="44"/>
      <c r="R230" s="44" t="s">
        <v>558</v>
      </c>
      <c r="S230" s="44" t="s">
        <v>559</v>
      </c>
      <c r="T230" s="44" t="s">
        <v>1099</v>
      </c>
      <c r="U230" s="44"/>
    </row>
    <row r="231" spans="1:21" ht="45" customHeight="1" x14ac:dyDescent="0.25">
      <c r="A231" s="24">
        <v>230</v>
      </c>
      <c r="B231" s="24" t="s">
        <v>244</v>
      </c>
      <c r="C231" s="24" t="s">
        <v>244</v>
      </c>
      <c r="D231" s="42" t="s">
        <v>5</v>
      </c>
      <c r="E231" s="25" t="s">
        <v>244</v>
      </c>
      <c r="F231" s="25" t="s">
        <v>1100</v>
      </c>
      <c r="G231" s="24" t="s">
        <v>573</v>
      </c>
      <c r="H231" s="25" t="s">
        <v>553</v>
      </c>
      <c r="I231" s="25" t="s">
        <v>1016</v>
      </c>
      <c r="J231" s="25" t="s">
        <v>555</v>
      </c>
      <c r="K231" s="25" t="s">
        <v>566</v>
      </c>
      <c r="L231" s="25" t="s">
        <v>567</v>
      </c>
      <c r="M231" s="25"/>
      <c r="N231" s="25"/>
      <c r="O231" s="25"/>
      <c r="P231" s="25" t="s">
        <v>569</v>
      </c>
      <c r="Q231" s="25"/>
      <c r="R231" s="25" t="s">
        <v>558</v>
      </c>
      <c r="S231" s="25" t="s">
        <v>559</v>
      </c>
      <c r="T231" s="25" t="s">
        <v>1101</v>
      </c>
      <c r="U231" s="25"/>
    </row>
    <row r="232" spans="1:21" ht="45" customHeight="1" x14ac:dyDescent="0.25">
      <c r="A232" s="43">
        <v>231</v>
      </c>
      <c r="B232" s="43" t="s">
        <v>245</v>
      </c>
      <c r="C232" s="43" t="s">
        <v>245</v>
      </c>
      <c r="D232" s="42" t="s">
        <v>5</v>
      </c>
      <c r="E232" s="44" t="s">
        <v>550</v>
      </c>
      <c r="F232" s="44" t="s">
        <v>1102</v>
      </c>
      <c r="G232" s="43" t="s">
        <v>573</v>
      </c>
      <c r="H232" s="44" t="s">
        <v>553</v>
      </c>
      <c r="I232" s="44" t="s">
        <v>1016</v>
      </c>
      <c r="J232" s="44" t="s">
        <v>555</v>
      </c>
      <c r="K232" s="44" t="s">
        <v>556</v>
      </c>
      <c r="L232" s="44" t="s">
        <v>567</v>
      </c>
      <c r="M232" s="44"/>
      <c r="N232" s="44"/>
      <c r="O232" s="44"/>
      <c r="P232" s="44" t="s">
        <v>569</v>
      </c>
      <c r="Q232" s="44"/>
      <c r="R232" s="44" t="s">
        <v>558</v>
      </c>
      <c r="S232" s="44" t="s">
        <v>559</v>
      </c>
      <c r="T232" s="44" t="s">
        <v>1103</v>
      </c>
      <c r="U232" s="44"/>
    </row>
    <row r="233" spans="1:21" ht="45" customHeight="1" x14ac:dyDescent="0.25">
      <c r="A233" s="24">
        <v>232</v>
      </c>
      <c r="B233" s="24" t="s">
        <v>246</v>
      </c>
      <c r="C233" s="24" t="s">
        <v>246</v>
      </c>
      <c r="D233" s="42" t="s">
        <v>5</v>
      </c>
      <c r="E233" s="25" t="s">
        <v>550</v>
      </c>
      <c r="F233" s="25" t="s">
        <v>1104</v>
      </c>
      <c r="G233" s="24" t="s">
        <v>573</v>
      </c>
      <c r="H233" s="25" t="s">
        <v>553</v>
      </c>
      <c r="I233" s="25" t="s">
        <v>1016</v>
      </c>
      <c r="J233" s="25" t="s">
        <v>555</v>
      </c>
      <c r="K233" s="25" t="s">
        <v>556</v>
      </c>
      <c r="L233" s="25" t="s">
        <v>567</v>
      </c>
      <c r="M233" s="25"/>
      <c r="N233" s="25"/>
      <c r="O233" s="25"/>
      <c r="P233" s="25" t="s">
        <v>569</v>
      </c>
      <c r="Q233" s="25" t="s">
        <v>635</v>
      </c>
      <c r="R233" s="25" t="s">
        <v>558</v>
      </c>
      <c r="S233" s="25" t="s">
        <v>559</v>
      </c>
      <c r="T233" s="25" t="s">
        <v>1105</v>
      </c>
      <c r="U233" s="25"/>
    </row>
    <row r="234" spans="1:21" ht="45" customHeight="1" x14ac:dyDescent="0.25">
      <c r="A234" s="43">
        <v>233</v>
      </c>
      <c r="B234" s="43" t="s">
        <v>247</v>
      </c>
      <c r="C234" s="43" t="s">
        <v>247</v>
      </c>
      <c r="D234" s="42" t="s">
        <v>5</v>
      </c>
      <c r="E234" s="44" t="s">
        <v>550</v>
      </c>
      <c r="F234" s="44" t="s">
        <v>1106</v>
      </c>
      <c r="G234" s="43" t="s">
        <v>573</v>
      </c>
      <c r="H234" s="44" t="s">
        <v>553</v>
      </c>
      <c r="I234" s="44" t="s">
        <v>1016</v>
      </c>
      <c r="J234" s="44" t="s">
        <v>555</v>
      </c>
      <c r="K234" s="44" t="s">
        <v>556</v>
      </c>
      <c r="L234" s="44" t="s">
        <v>557</v>
      </c>
      <c r="M234" s="44"/>
      <c r="N234" s="44"/>
      <c r="O234" s="44"/>
      <c r="P234" s="44"/>
      <c r="Q234" s="44"/>
      <c r="R234" s="44" t="s">
        <v>558</v>
      </c>
      <c r="S234" s="44" t="s">
        <v>559</v>
      </c>
      <c r="T234" s="44" t="s">
        <v>1107</v>
      </c>
      <c r="U234" s="44"/>
    </row>
    <row r="235" spans="1:21" ht="45" customHeight="1" x14ac:dyDescent="0.25">
      <c r="A235" s="24">
        <v>234</v>
      </c>
      <c r="B235" s="24" t="s">
        <v>248</v>
      </c>
      <c r="C235" s="24" t="s">
        <v>248</v>
      </c>
      <c r="D235" s="42" t="s">
        <v>5</v>
      </c>
      <c r="E235" s="25" t="s">
        <v>1108</v>
      </c>
      <c r="F235" s="25" t="s">
        <v>1109</v>
      </c>
      <c r="G235" s="24" t="s">
        <v>573</v>
      </c>
      <c r="H235" s="25" t="s">
        <v>564</v>
      </c>
      <c r="I235" s="25" t="s">
        <v>1016</v>
      </c>
      <c r="J235" s="25" t="s">
        <v>578</v>
      </c>
      <c r="K235" s="25" t="s">
        <v>1110</v>
      </c>
      <c r="L235" s="25" t="s">
        <v>567</v>
      </c>
      <c r="M235" s="25"/>
      <c r="N235" s="25" t="s">
        <v>1111</v>
      </c>
      <c r="O235" s="25"/>
      <c r="P235" s="25" t="s">
        <v>569</v>
      </c>
      <c r="Q235" s="25"/>
      <c r="R235" s="25" t="s">
        <v>570</v>
      </c>
      <c r="S235" s="25" t="s">
        <v>559</v>
      </c>
      <c r="T235" s="25" t="s">
        <v>1112</v>
      </c>
      <c r="U235" s="25"/>
    </row>
    <row r="236" spans="1:21" ht="45" customHeight="1" x14ac:dyDescent="0.25">
      <c r="A236" s="43">
        <v>235</v>
      </c>
      <c r="B236" s="43" t="s">
        <v>249</v>
      </c>
      <c r="C236" s="43" t="s">
        <v>249</v>
      </c>
      <c r="D236" s="42" t="s">
        <v>5</v>
      </c>
      <c r="E236" s="44" t="s">
        <v>550</v>
      </c>
      <c r="F236" s="44" t="s">
        <v>1113</v>
      </c>
      <c r="G236" s="43" t="s">
        <v>573</v>
      </c>
      <c r="H236" s="44" t="s">
        <v>553</v>
      </c>
      <c r="I236" s="44" t="s">
        <v>1016</v>
      </c>
      <c r="J236" s="44" t="s">
        <v>555</v>
      </c>
      <c r="K236" s="44" t="s">
        <v>556</v>
      </c>
      <c r="L236" s="44" t="s">
        <v>567</v>
      </c>
      <c r="M236" s="44"/>
      <c r="N236" s="44"/>
      <c r="O236" s="44"/>
      <c r="P236" s="44" t="s">
        <v>569</v>
      </c>
      <c r="Q236" s="44" t="s">
        <v>635</v>
      </c>
      <c r="R236" s="44" t="s">
        <v>558</v>
      </c>
      <c r="S236" s="44" t="s">
        <v>559</v>
      </c>
      <c r="T236" s="44" t="s">
        <v>1114</v>
      </c>
      <c r="U236" s="44"/>
    </row>
    <row r="237" spans="1:21" ht="45" customHeight="1" x14ac:dyDescent="0.25">
      <c r="A237" s="24">
        <v>236</v>
      </c>
      <c r="B237" s="24" t="s">
        <v>250</v>
      </c>
      <c r="C237" s="24" t="s">
        <v>250</v>
      </c>
      <c r="D237" s="42" t="s">
        <v>5</v>
      </c>
      <c r="E237" s="25" t="s">
        <v>550</v>
      </c>
      <c r="F237" s="25" t="s">
        <v>1115</v>
      </c>
      <c r="G237" s="24" t="s">
        <v>573</v>
      </c>
      <c r="H237" s="25" t="s">
        <v>610</v>
      </c>
      <c r="I237" s="25" t="s">
        <v>1016</v>
      </c>
      <c r="J237" s="25" t="s">
        <v>578</v>
      </c>
      <c r="K237" s="25" t="s">
        <v>556</v>
      </c>
      <c r="L237" s="25" t="s">
        <v>557</v>
      </c>
      <c r="M237" s="25"/>
      <c r="N237" s="25"/>
      <c r="O237" s="25"/>
      <c r="P237" s="25"/>
      <c r="Q237" s="25"/>
      <c r="R237" s="25" t="s">
        <v>558</v>
      </c>
      <c r="S237" s="25" t="s">
        <v>559</v>
      </c>
      <c r="T237" s="25" t="s">
        <v>1116</v>
      </c>
      <c r="U237" s="25"/>
    </row>
    <row r="238" spans="1:21" ht="45" customHeight="1" x14ac:dyDescent="0.25">
      <c r="A238" s="43">
        <v>237</v>
      </c>
      <c r="B238" s="43" t="s">
        <v>251</v>
      </c>
      <c r="C238" s="43" t="s">
        <v>251</v>
      </c>
      <c r="D238" s="42" t="s">
        <v>5</v>
      </c>
      <c r="E238" s="44" t="s">
        <v>1117</v>
      </c>
      <c r="F238" s="44" t="s">
        <v>1118</v>
      </c>
      <c r="G238" s="42" t="s">
        <v>552</v>
      </c>
      <c r="H238" s="44" t="s">
        <v>610</v>
      </c>
      <c r="I238" s="44" t="s">
        <v>1016</v>
      </c>
      <c r="J238" s="44" t="s">
        <v>578</v>
      </c>
      <c r="K238" s="44" t="s">
        <v>811</v>
      </c>
      <c r="L238" s="44" t="s">
        <v>1046</v>
      </c>
      <c r="M238" s="44" t="s">
        <v>1119</v>
      </c>
      <c r="N238" s="44" t="s">
        <v>602</v>
      </c>
      <c r="O238" s="44" t="s">
        <v>568</v>
      </c>
      <c r="P238" s="44" t="s">
        <v>569</v>
      </c>
      <c r="Q238" s="44"/>
      <c r="R238" s="44" t="s">
        <v>570</v>
      </c>
      <c r="S238" s="44" t="s">
        <v>1048</v>
      </c>
      <c r="T238" s="44" t="s">
        <v>1120</v>
      </c>
      <c r="U238" s="44" t="s">
        <v>1050</v>
      </c>
    </row>
    <row r="239" spans="1:21" ht="45" customHeight="1" x14ac:dyDescent="0.25">
      <c r="A239" s="24">
        <v>238</v>
      </c>
      <c r="B239" s="24" t="s">
        <v>252</v>
      </c>
      <c r="C239" s="24" t="s">
        <v>252</v>
      </c>
      <c r="D239" s="42" t="s">
        <v>5</v>
      </c>
      <c r="E239" s="25" t="s">
        <v>1117</v>
      </c>
      <c r="F239" s="25" t="s">
        <v>1121</v>
      </c>
      <c r="G239" s="26" t="s">
        <v>552</v>
      </c>
      <c r="H239" s="25" t="s">
        <v>610</v>
      </c>
      <c r="I239" s="25" t="s">
        <v>1016</v>
      </c>
      <c r="J239" s="25" t="s">
        <v>578</v>
      </c>
      <c r="K239" s="25" t="s">
        <v>811</v>
      </c>
      <c r="L239" s="25" t="s">
        <v>567</v>
      </c>
      <c r="M239" s="25"/>
      <c r="N239" s="25" t="s">
        <v>602</v>
      </c>
      <c r="O239" s="25" t="s">
        <v>568</v>
      </c>
      <c r="P239" s="25" t="s">
        <v>569</v>
      </c>
      <c r="Q239" s="25"/>
      <c r="R239" s="25" t="s">
        <v>570</v>
      </c>
      <c r="S239" s="25" t="s">
        <v>559</v>
      </c>
      <c r="T239" s="25" t="s">
        <v>1122</v>
      </c>
      <c r="U239" s="25" t="s">
        <v>561</v>
      </c>
    </row>
    <row r="240" spans="1:21" ht="45" customHeight="1" x14ac:dyDescent="0.25">
      <c r="A240" s="43">
        <v>239</v>
      </c>
      <c r="B240" s="43" t="s">
        <v>253</v>
      </c>
      <c r="C240" s="43" t="s">
        <v>253</v>
      </c>
      <c r="D240" s="42" t="s">
        <v>5</v>
      </c>
      <c r="E240" s="44" t="s">
        <v>1117</v>
      </c>
      <c r="F240" s="44" t="s">
        <v>1123</v>
      </c>
      <c r="G240" s="43" t="s">
        <v>573</v>
      </c>
      <c r="H240" s="44" t="s">
        <v>553</v>
      </c>
      <c r="I240" s="44" t="s">
        <v>1016</v>
      </c>
      <c r="J240" s="44" t="s">
        <v>555</v>
      </c>
      <c r="K240" s="44" t="s">
        <v>811</v>
      </c>
      <c r="L240" s="44" t="s">
        <v>557</v>
      </c>
      <c r="M240" s="44"/>
      <c r="N240" s="44" t="s">
        <v>602</v>
      </c>
      <c r="O240" s="44"/>
      <c r="P240" s="44"/>
      <c r="Q240" s="44"/>
      <c r="R240" s="44" t="s">
        <v>558</v>
      </c>
      <c r="S240" s="44" t="s">
        <v>559</v>
      </c>
      <c r="T240" s="44" t="s">
        <v>1124</v>
      </c>
      <c r="U240" s="44"/>
    </row>
    <row r="241" spans="1:21" ht="45" customHeight="1" x14ac:dyDescent="0.25">
      <c r="A241" s="24">
        <v>240</v>
      </c>
      <c r="B241" s="24" t="s">
        <v>254</v>
      </c>
      <c r="C241" s="24" t="s">
        <v>254</v>
      </c>
      <c r="D241" s="42" t="s">
        <v>5</v>
      </c>
      <c r="E241" s="25" t="s">
        <v>1117</v>
      </c>
      <c r="F241" s="25" t="s">
        <v>1125</v>
      </c>
      <c r="G241" s="24" t="s">
        <v>573</v>
      </c>
      <c r="H241" s="25" t="s">
        <v>553</v>
      </c>
      <c r="I241" s="25" t="s">
        <v>1016</v>
      </c>
      <c r="J241" s="25" t="s">
        <v>555</v>
      </c>
      <c r="K241" s="25" t="s">
        <v>556</v>
      </c>
      <c r="L241" s="25" t="s">
        <v>557</v>
      </c>
      <c r="M241" s="25"/>
      <c r="N241" s="25" t="s">
        <v>602</v>
      </c>
      <c r="O241" s="25"/>
      <c r="P241" s="25"/>
      <c r="Q241" s="25"/>
      <c r="R241" s="25" t="s">
        <v>558</v>
      </c>
      <c r="S241" s="25" t="s">
        <v>559</v>
      </c>
      <c r="T241" s="25" t="s">
        <v>1126</v>
      </c>
      <c r="U241" s="25"/>
    </row>
    <row r="242" spans="1:21" ht="45" customHeight="1" x14ac:dyDescent="0.25">
      <c r="A242" s="43">
        <v>241</v>
      </c>
      <c r="B242" s="43" t="s">
        <v>255</v>
      </c>
      <c r="C242" s="43" t="s">
        <v>255</v>
      </c>
      <c r="D242" s="42" t="s">
        <v>5</v>
      </c>
      <c r="E242" s="44" t="s">
        <v>1117</v>
      </c>
      <c r="F242" s="44" t="s">
        <v>1127</v>
      </c>
      <c r="G242" s="42" t="s">
        <v>552</v>
      </c>
      <c r="H242" s="44" t="s">
        <v>610</v>
      </c>
      <c r="I242" s="44" t="s">
        <v>1016</v>
      </c>
      <c r="J242" s="44" t="s">
        <v>578</v>
      </c>
      <c r="K242" s="44" t="s">
        <v>811</v>
      </c>
      <c r="L242" s="44" t="s">
        <v>1046</v>
      </c>
      <c r="M242" s="44" t="s">
        <v>1119</v>
      </c>
      <c r="N242" s="44" t="s">
        <v>602</v>
      </c>
      <c r="O242" s="44" t="s">
        <v>568</v>
      </c>
      <c r="P242" s="44" t="s">
        <v>569</v>
      </c>
      <c r="Q242" s="44"/>
      <c r="R242" s="44" t="s">
        <v>570</v>
      </c>
      <c r="S242" s="44" t="s">
        <v>1048</v>
      </c>
      <c r="T242" s="44" t="s">
        <v>1128</v>
      </c>
      <c r="U242" s="44" t="s">
        <v>1050</v>
      </c>
    </row>
    <row r="243" spans="1:21" ht="45" customHeight="1" x14ac:dyDescent="0.25">
      <c r="A243" s="24">
        <v>242</v>
      </c>
      <c r="B243" s="24" t="s">
        <v>256</v>
      </c>
      <c r="C243" s="24" t="s">
        <v>256</v>
      </c>
      <c r="D243" s="42" t="s">
        <v>5</v>
      </c>
      <c r="E243" s="25" t="s">
        <v>608</v>
      </c>
      <c r="F243" s="25" t="s">
        <v>1129</v>
      </c>
      <c r="G243" s="26" t="s">
        <v>552</v>
      </c>
      <c r="H243" s="25" t="s">
        <v>610</v>
      </c>
      <c r="I243" s="25" t="s">
        <v>1016</v>
      </c>
      <c r="J243" s="25" t="s">
        <v>578</v>
      </c>
      <c r="K243" s="25" t="s">
        <v>611</v>
      </c>
      <c r="L243" s="25" t="s">
        <v>1046</v>
      </c>
      <c r="M243" s="25" t="s">
        <v>1130</v>
      </c>
      <c r="N243" s="25" t="s">
        <v>612</v>
      </c>
      <c r="O243" s="25" t="s">
        <v>568</v>
      </c>
      <c r="P243" s="25" t="s">
        <v>569</v>
      </c>
      <c r="Q243" s="25"/>
      <c r="R243" s="25" t="s">
        <v>570</v>
      </c>
      <c r="S243" s="25" t="s">
        <v>1048</v>
      </c>
      <c r="T243" s="25" t="s">
        <v>1131</v>
      </c>
      <c r="U243" s="25" t="s">
        <v>591</v>
      </c>
    </row>
    <row r="244" spans="1:21" ht="45" customHeight="1" x14ac:dyDescent="0.25">
      <c r="A244" s="43">
        <v>243</v>
      </c>
      <c r="B244" s="43" t="s">
        <v>257</v>
      </c>
      <c r="C244" s="43" t="s">
        <v>257</v>
      </c>
      <c r="D244" s="42" t="s">
        <v>5</v>
      </c>
      <c r="E244" s="44" t="s">
        <v>608</v>
      </c>
      <c r="F244" s="44" t="s">
        <v>1132</v>
      </c>
      <c r="G244" s="42" t="s">
        <v>552</v>
      </c>
      <c r="H244" s="44" t="s">
        <v>610</v>
      </c>
      <c r="I244" s="44" t="s">
        <v>1016</v>
      </c>
      <c r="J244" s="44" t="s">
        <v>578</v>
      </c>
      <c r="K244" s="44" t="s">
        <v>611</v>
      </c>
      <c r="L244" s="44" t="s">
        <v>1046</v>
      </c>
      <c r="M244" s="44" t="s">
        <v>1133</v>
      </c>
      <c r="N244" s="44" t="s">
        <v>612</v>
      </c>
      <c r="O244" s="44" t="s">
        <v>568</v>
      </c>
      <c r="P244" s="44" t="s">
        <v>569</v>
      </c>
      <c r="Q244" s="44"/>
      <c r="R244" s="44" t="s">
        <v>570</v>
      </c>
      <c r="S244" s="44" t="s">
        <v>559</v>
      </c>
      <c r="T244" s="44" t="s">
        <v>1134</v>
      </c>
      <c r="U244" s="44" t="s">
        <v>591</v>
      </c>
    </row>
    <row r="245" spans="1:21" ht="45" customHeight="1" x14ac:dyDescent="0.25">
      <c r="A245" s="24">
        <v>244</v>
      </c>
      <c r="B245" s="24" t="s">
        <v>258</v>
      </c>
      <c r="C245" s="24" t="s">
        <v>258</v>
      </c>
      <c r="D245" s="42" t="s">
        <v>5</v>
      </c>
      <c r="E245" s="25" t="s">
        <v>1135</v>
      </c>
      <c r="F245" s="25" t="s">
        <v>1136</v>
      </c>
      <c r="G245" s="26" t="s">
        <v>552</v>
      </c>
      <c r="H245" s="25" t="s">
        <v>553</v>
      </c>
      <c r="I245" s="25" t="s">
        <v>1016</v>
      </c>
      <c r="J245" s="25" t="s">
        <v>1137</v>
      </c>
      <c r="K245" s="25" t="s">
        <v>556</v>
      </c>
      <c r="L245" s="25" t="s">
        <v>557</v>
      </c>
      <c r="M245" s="25"/>
      <c r="N245" s="25"/>
      <c r="O245" s="25"/>
      <c r="P245" s="25"/>
      <c r="Q245" s="25"/>
      <c r="R245" s="25" t="s">
        <v>558</v>
      </c>
      <c r="S245" s="25" t="s">
        <v>559</v>
      </c>
      <c r="T245" s="25" t="s">
        <v>1138</v>
      </c>
      <c r="U245" s="25" t="s">
        <v>561</v>
      </c>
    </row>
    <row r="246" spans="1:21" ht="45" customHeight="1" x14ac:dyDescent="0.25">
      <c r="A246" s="43">
        <v>245</v>
      </c>
      <c r="B246" s="43" t="s">
        <v>259</v>
      </c>
      <c r="C246" s="43" t="s">
        <v>259</v>
      </c>
      <c r="D246" s="42" t="s">
        <v>5</v>
      </c>
      <c r="E246" s="44" t="s">
        <v>550</v>
      </c>
      <c r="F246" s="44" t="s">
        <v>1139</v>
      </c>
      <c r="G246" s="43" t="s">
        <v>573</v>
      </c>
      <c r="H246" s="44" t="s">
        <v>564</v>
      </c>
      <c r="I246" s="44" t="s">
        <v>1016</v>
      </c>
      <c r="J246" s="44" t="s">
        <v>565</v>
      </c>
      <c r="K246" s="44" t="s">
        <v>566</v>
      </c>
      <c r="L246" s="44" t="s">
        <v>567</v>
      </c>
      <c r="M246" s="44"/>
      <c r="N246" s="44"/>
      <c r="O246" s="44"/>
      <c r="P246" s="44" t="s">
        <v>569</v>
      </c>
      <c r="Q246" s="44"/>
      <c r="R246" s="44" t="s">
        <v>558</v>
      </c>
      <c r="S246" s="44" t="s">
        <v>559</v>
      </c>
      <c r="T246" s="44" t="s">
        <v>1140</v>
      </c>
      <c r="U246" s="44"/>
    </row>
    <row r="247" spans="1:21" ht="45" customHeight="1" x14ac:dyDescent="0.25">
      <c r="A247" s="24">
        <v>246</v>
      </c>
      <c r="B247" s="24" t="s">
        <v>260</v>
      </c>
      <c r="C247" s="24" t="s">
        <v>260</v>
      </c>
      <c r="D247" s="42" t="s">
        <v>5</v>
      </c>
      <c r="E247" s="25" t="s">
        <v>1029</v>
      </c>
      <c r="F247" s="25" t="s">
        <v>1141</v>
      </c>
      <c r="G247" s="24" t="s">
        <v>573</v>
      </c>
      <c r="H247" s="25" t="s">
        <v>564</v>
      </c>
      <c r="I247" s="25" t="s">
        <v>1016</v>
      </c>
      <c r="J247" s="25" t="s">
        <v>578</v>
      </c>
      <c r="K247" s="25" t="s">
        <v>566</v>
      </c>
      <c r="L247" s="25" t="s">
        <v>567</v>
      </c>
      <c r="M247" s="25"/>
      <c r="N247" s="25"/>
      <c r="O247" s="25"/>
      <c r="P247" s="25" t="s">
        <v>569</v>
      </c>
      <c r="Q247" s="25" t="s">
        <v>635</v>
      </c>
      <c r="R247" s="25" t="s">
        <v>570</v>
      </c>
      <c r="S247" s="25" t="s">
        <v>559</v>
      </c>
      <c r="T247" s="25" t="s">
        <v>1142</v>
      </c>
      <c r="U247" s="25"/>
    </row>
    <row r="248" spans="1:21" ht="45" customHeight="1" x14ac:dyDescent="0.25">
      <c r="A248" s="43">
        <v>247</v>
      </c>
      <c r="B248" s="43" t="s">
        <v>261</v>
      </c>
      <c r="C248" s="43" t="s">
        <v>261</v>
      </c>
      <c r="D248" s="42" t="s">
        <v>5</v>
      </c>
      <c r="E248" s="44" t="s">
        <v>1143</v>
      </c>
      <c r="F248" s="44" t="s">
        <v>1144</v>
      </c>
      <c r="G248" s="43" t="s">
        <v>573</v>
      </c>
      <c r="H248" s="44" t="s">
        <v>553</v>
      </c>
      <c r="I248" s="44" t="s">
        <v>1016</v>
      </c>
      <c r="J248" s="44" t="s">
        <v>555</v>
      </c>
      <c r="K248" s="44" t="s">
        <v>556</v>
      </c>
      <c r="L248" s="44" t="s">
        <v>567</v>
      </c>
      <c r="M248" s="44"/>
      <c r="N248" s="44" t="s">
        <v>1145</v>
      </c>
      <c r="O248" s="44"/>
      <c r="P248" s="44" t="s">
        <v>569</v>
      </c>
      <c r="Q248" s="44"/>
      <c r="R248" s="44" t="s">
        <v>558</v>
      </c>
      <c r="S248" s="44" t="s">
        <v>559</v>
      </c>
      <c r="T248" s="44" t="s">
        <v>1146</v>
      </c>
      <c r="U248" s="44"/>
    </row>
    <row r="249" spans="1:21" ht="45" customHeight="1" x14ac:dyDescent="0.25">
      <c r="A249" s="24">
        <v>248</v>
      </c>
      <c r="B249" s="24" t="s">
        <v>262</v>
      </c>
      <c r="C249" s="24" t="s">
        <v>262</v>
      </c>
      <c r="D249" s="42" t="s">
        <v>5</v>
      </c>
      <c r="E249" s="25" t="s">
        <v>1143</v>
      </c>
      <c r="F249" s="25" t="s">
        <v>1147</v>
      </c>
      <c r="G249" s="24" t="s">
        <v>573</v>
      </c>
      <c r="H249" s="25" t="s">
        <v>553</v>
      </c>
      <c r="I249" s="25" t="s">
        <v>1016</v>
      </c>
      <c r="J249" s="25" t="s">
        <v>555</v>
      </c>
      <c r="K249" s="25" t="s">
        <v>556</v>
      </c>
      <c r="L249" s="25" t="s">
        <v>567</v>
      </c>
      <c r="M249" s="25"/>
      <c r="N249" s="25" t="s">
        <v>1145</v>
      </c>
      <c r="O249" s="25"/>
      <c r="P249" s="25" t="s">
        <v>569</v>
      </c>
      <c r="Q249" s="25"/>
      <c r="R249" s="25" t="s">
        <v>558</v>
      </c>
      <c r="S249" s="25" t="s">
        <v>559</v>
      </c>
      <c r="T249" s="25" t="s">
        <v>1148</v>
      </c>
      <c r="U249" s="25"/>
    </row>
    <row r="250" spans="1:21" ht="45" customHeight="1" x14ac:dyDescent="0.25">
      <c r="A250" s="43">
        <v>249</v>
      </c>
      <c r="B250" s="43" t="s">
        <v>263</v>
      </c>
      <c r="C250" s="43" t="s">
        <v>263</v>
      </c>
      <c r="D250" s="42" t="s">
        <v>5</v>
      </c>
      <c r="E250" s="44" t="s">
        <v>1143</v>
      </c>
      <c r="F250" s="44" t="s">
        <v>1149</v>
      </c>
      <c r="G250" s="43" t="s">
        <v>573</v>
      </c>
      <c r="H250" s="44" t="s">
        <v>564</v>
      </c>
      <c r="I250" s="44" t="s">
        <v>1016</v>
      </c>
      <c r="J250" s="44" t="s">
        <v>578</v>
      </c>
      <c r="K250" s="44" t="s">
        <v>556</v>
      </c>
      <c r="L250" s="44" t="s">
        <v>1046</v>
      </c>
      <c r="M250" s="44" t="s">
        <v>1150</v>
      </c>
      <c r="N250" s="44" t="s">
        <v>1145</v>
      </c>
      <c r="O250" s="44"/>
      <c r="P250" s="44" t="s">
        <v>569</v>
      </c>
      <c r="Q250" s="44" t="s">
        <v>635</v>
      </c>
      <c r="R250" s="44" t="s">
        <v>558</v>
      </c>
      <c r="S250" s="44" t="s">
        <v>1048</v>
      </c>
      <c r="T250" s="44" t="s">
        <v>1151</v>
      </c>
      <c r="U250" s="44" t="s">
        <v>1050</v>
      </c>
    </row>
    <row r="251" spans="1:21" ht="45" customHeight="1" x14ac:dyDescent="0.25">
      <c r="A251" s="24">
        <v>250</v>
      </c>
      <c r="B251" s="24" t="s">
        <v>264</v>
      </c>
      <c r="C251" s="24" t="s">
        <v>264</v>
      </c>
      <c r="D251" s="42" t="s">
        <v>5</v>
      </c>
      <c r="E251" s="25" t="s">
        <v>1143</v>
      </c>
      <c r="F251" s="25" t="s">
        <v>1152</v>
      </c>
      <c r="G251" s="24" t="s">
        <v>573</v>
      </c>
      <c r="H251" s="25" t="s">
        <v>564</v>
      </c>
      <c r="I251" s="25" t="s">
        <v>1016</v>
      </c>
      <c r="J251" s="25" t="s">
        <v>565</v>
      </c>
      <c r="K251" s="25" t="s">
        <v>566</v>
      </c>
      <c r="L251" s="25" t="s">
        <v>567</v>
      </c>
      <c r="M251" s="25"/>
      <c r="N251" s="25" t="s">
        <v>1145</v>
      </c>
      <c r="O251" s="25"/>
      <c r="P251" s="25" t="s">
        <v>569</v>
      </c>
      <c r="Q251" s="25"/>
      <c r="R251" s="25" t="s">
        <v>558</v>
      </c>
      <c r="S251" s="25" t="s">
        <v>559</v>
      </c>
      <c r="T251" s="25" t="s">
        <v>1153</v>
      </c>
      <c r="U251" s="25"/>
    </row>
    <row r="252" spans="1:21" ht="45" customHeight="1" x14ac:dyDescent="0.25">
      <c r="A252" s="43">
        <v>251</v>
      </c>
      <c r="B252" s="43" t="s">
        <v>265</v>
      </c>
      <c r="C252" s="43" t="s">
        <v>265</v>
      </c>
      <c r="D252" s="42" t="s">
        <v>5</v>
      </c>
      <c r="E252" s="44" t="s">
        <v>1154</v>
      </c>
      <c r="F252" s="44" t="s">
        <v>1155</v>
      </c>
      <c r="G252" s="43" t="s">
        <v>573</v>
      </c>
      <c r="H252" s="44" t="s">
        <v>610</v>
      </c>
      <c r="I252" s="44" t="s">
        <v>1016</v>
      </c>
      <c r="J252" s="44" t="s">
        <v>578</v>
      </c>
      <c r="K252" s="44" t="s">
        <v>556</v>
      </c>
      <c r="L252" s="44" t="s">
        <v>567</v>
      </c>
      <c r="M252" s="44"/>
      <c r="N252" s="44" t="s">
        <v>1156</v>
      </c>
      <c r="O252" s="44"/>
      <c r="P252" s="44" t="s">
        <v>569</v>
      </c>
      <c r="Q252" s="44"/>
      <c r="R252" s="44" t="s">
        <v>558</v>
      </c>
      <c r="S252" s="44" t="s">
        <v>559</v>
      </c>
      <c r="T252" s="44" t="s">
        <v>1157</v>
      </c>
      <c r="U252" s="44"/>
    </row>
    <row r="253" spans="1:21" ht="45" customHeight="1" x14ac:dyDescent="0.25">
      <c r="A253" s="24">
        <v>252</v>
      </c>
      <c r="B253" s="24" t="s">
        <v>266</v>
      </c>
      <c r="C253" s="24" t="s">
        <v>266</v>
      </c>
      <c r="D253" s="42" t="s">
        <v>5</v>
      </c>
      <c r="E253" s="25" t="s">
        <v>1154</v>
      </c>
      <c r="F253" s="25" t="s">
        <v>1158</v>
      </c>
      <c r="G253" s="24" t="s">
        <v>573</v>
      </c>
      <c r="H253" s="25" t="s">
        <v>564</v>
      </c>
      <c r="I253" s="25" t="s">
        <v>1016</v>
      </c>
      <c r="J253" s="25" t="s">
        <v>565</v>
      </c>
      <c r="K253" s="25" t="s">
        <v>566</v>
      </c>
      <c r="L253" s="25" t="s">
        <v>567</v>
      </c>
      <c r="M253" s="25"/>
      <c r="N253" s="25" t="s">
        <v>1156</v>
      </c>
      <c r="O253" s="25"/>
      <c r="P253" s="25" t="s">
        <v>569</v>
      </c>
      <c r="Q253" s="25"/>
      <c r="R253" s="25" t="s">
        <v>558</v>
      </c>
      <c r="S253" s="25" t="s">
        <v>559</v>
      </c>
      <c r="T253" s="25" t="s">
        <v>1159</v>
      </c>
      <c r="U253" s="25"/>
    </row>
    <row r="254" spans="1:21" ht="45" customHeight="1" x14ac:dyDescent="0.25">
      <c r="A254" s="43">
        <v>253</v>
      </c>
      <c r="B254" s="43" t="s">
        <v>267</v>
      </c>
      <c r="C254" s="43" t="s">
        <v>267</v>
      </c>
      <c r="D254" s="42" t="s">
        <v>5</v>
      </c>
      <c r="E254" s="44" t="s">
        <v>1154</v>
      </c>
      <c r="F254" s="44" t="s">
        <v>1160</v>
      </c>
      <c r="G254" s="43" t="s">
        <v>573</v>
      </c>
      <c r="H254" s="44" t="s">
        <v>553</v>
      </c>
      <c r="I254" s="44" t="s">
        <v>1016</v>
      </c>
      <c r="J254" s="44" t="s">
        <v>555</v>
      </c>
      <c r="K254" s="44" t="s">
        <v>556</v>
      </c>
      <c r="L254" s="44" t="s">
        <v>567</v>
      </c>
      <c r="M254" s="44"/>
      <c r="N254" s="44" t="s">
        <v>1156</v>
      </c>
      <c r="O254" s="44"/>
      <c r="P254" s="44" t="s">
        <v>569</v>
      </c>
      <c r="Q254" s="44"/>
      <c r="R254" s="44" t="s">
        <v>558</v>
      </c>
      <c r="S254" s="44" t="s">
        <v>559</v>
      </c>
      <c r="T254" s="44" t="s">
        <v>1161</v>
      </c>
      <c r="U254" s="44"/>
    </row>
    <row r="255" spans="1:21" ht="45" customHeight="1" x14ac:dyDescent="0.25">
      <c r="A255" s="24">
        <v>254</v>
      </c>
      <c r="B255" s="24" t="s">
        <v>268</v>
      </c>
      <c r="C255" s="24" t="s">
        <v>268</v>
      </c>
      <c r="D255" s="42" t="s">
        <v>5</v>
      </c>
      <c r="E255" s="25" t="s">
        <v>1108</v>
      </c>
      <c r="F255" s="25" t="s">
        <v>1162</v>
      </c>
      <c r="G255" s="24" t="s">
        <v>573</v>
      </c>
      <c r="H255" s="25" t="s">
        <v>610</v>
      </c>
      <c r="I255" s="25" t="s">
        <v>1016</v>
      </c>
      <c r="J255" s="25" t="s">
        <v>578</v>
      </c>
      <c r="K255" s="25" t="s">
        <v>1110</v>
      </c>
      <c r="L255" s="25" t="s">
        <v>1046</v>
      </c>
      <c r="M255" s="25" t="s">
        <v>1163</v>
      </c>
      <c r="N255" s="25" t="s">
        <v>1111</v>
      </c>
      <c r="O255" s="25"/>
      <c r="P255" s="25" t="s">
        <v>569</v>
      </c>
      <c r="Q255" s="25"/>
      <c r="R255" s="25" t="s">
        <v>570</v>
      </c>
      <c r="S255" s="25" t="s">
        <v>1048</v>
      </c>
      <c r="T255" s="25" t="s">
        <v>1164</v>
      </c>
      <c r="U255" s="25" t="s">
        <v>1050</v>
      </c>
    </row>
    <row r="256" spans="1:21" ht="45" customHeight="1" x14ac:dyDescent="0.25">
      <c r="A256" s="43">
        <v>255</v>
      </c>
      <c r="B256" s="43" t="s">
        <v>269</v>
      </c>
      <c r="C256" s="43" t="s">
        <v>269</v>
      </c>
      <c r="D256" s="42" t="s">
        <v>5</v>
      </c>
      <c r="E256" s="44" t="s">
        <v>1108</v>
      </c>
      <c r="F256" s="44" t="s">
        <v>1165</v>
      </c>
      <c r="G256" s="43" t="s">
        <v>573</v>
      </c>
      <c r="H256" s="44" t="s">
        <v>610</v>
      </c>
      <c r="I256" s="44" t="s">
        <v>1016</v>
      </c>
      <c r="J256" s="44" t="s">
        <v>578</v>
      </c>
      <c r="K256" s="44" t="s">
        <v>1110</v>
      </c>
      <c r="L256" s="44" t="s">
        <v>567</v>
      </c>
      <c r="M256" s="44"/>
      <c r="N256" s="44" t="s">
        <v>1111</v>
      </c>
      <c r="O256" s="44"/>
      <c r="P256" s="44" t="s">
        <v>569</v>
      </c>
      <c r="Q256" s="44"/>
      <c r="R256" s="44" t="s">
        <v>570</v>
      </c>
      <c r="S256" s="44" t="s">
        <v>559</v>
      </c>
      <c r="T256" s="44" t="s">
        <v>1166</v>
      </c>
      <c r="U256" s="44"/>
    </row>
    <row r="257" spans="1:21" ht="45" customHeight="1" x14ac:dyDescent="0.25">
      <c r="A257" s="24">
        <v>256</v>
      </c>
      <c r="B257" s="24" t="s">
        <v>270</v>
      </c>
      <c r="C257" s="24" t="s">
        <v>270</v>
      </c>
      <c r="D257" s="42" t="s">
        <v>5</v>
      </c>
      <c r="E257" s="25" t="s">
        <v>632</v>
      </c>
      <c r="F257" s="25" t="s">
        <v>1167</v>
      </c>
      <c r="G257" s="24" t="s">
        <v>573</v>
      </c>
      <c r="H257" s="25" t="s">
        <v>610</v>
      </c>
      <c r="I257" s="25" t="s">
        <v>1016</v>
      </c>
      <c r="J257" s="25" t="s">
        <v>578</v>
      </c>
      <c r="K257" s="25" t="s">
        <v>638</v>
      </c>
      <c r="L257" s="25" t="s">
        <v>567</v>
      </c>
      <c r="M257" s="25"/>
      <c r="N257" s="25" t="s">
        <v>634</v>
      </c>
      <c r="O257" s="25"/>
      <c r="P257" s="25" t="s">
        <v>569</v>
      </c>
      <c r="Q257" s="25"/>
      <c r="R257" s="25" t="s">
        <v>570</v>
      </c>
      <c r="S257" s="25" t="s">
        <v>559</v>
      </c>
      <c r="T257" s="25" t="s">
        <v>1168</v>
      </c>
      <c r="U257" s="25"/>
    </row>
    <row r="258" spans="1:21" ht="45" customHeight="1" x14ac:dyDescent="0.25">
      <c r="A258" s="43">
        <v>257</v>
      </c>
      <c r="B258" s="43" t="s">
        <v>271</v>
      </c>
      <c r="C258" s="43" t="s">
        <v>271</v>
      </c>
      <c r="D258" s="42" t="s">
        <v>5</v>
      </c>
      <c r="E258" s="44" t="s">
        <v>632</v>
      </c>
      <c r="F258" s="44" t="s">
        <v>1169</v>
      </c>
      <c r="G258" s="43" t="s">
        <v>573</v>
      </c>
      <c r="H258" s="44" t="s">
        <v>610</v>
      </c>
      <c r="I258" s="44" t="s">
        <v>1016</v>
      </c>
      <c r="J258" s="44" t="s">
        <v>578</v>
      </c>
      <c r="K258" s="44" t="s">
        <v>638</v>
      </c>
      <c r="L258" s="44" t="s">
        <v>567</v>
      </c>
      <c r="M258" s="44"/>
      <c r="N258" s="44" t="s">
        <v>634</v>
      </c>
      <c r="O258" s="44"/>
      <c r="P258" s="44" t="s">
        <v>569</v>
      </c>
      <c r="Q258" s="44"/>
      <c r="R258" s="44" t="s">
        <v>570</v>
      </c>
      <c r="S258" s="44" t="s">
        <v>559</v>
      </c>
      <c r="T258" s="44" t="s">
        <v>1170</v>
      </c>
      <c r="U258" s="44"/>
    </row>
    <row r="259" spans="1:21" ht="45" customHeight="1" x14ac:dyDescent="0.25">
      <c r="A259" s="24">
        <v>258</v>
      </c>
      <c r="B259" s="24" t="s">
        <v>272</v>
      </c>
      <c r="C259" s="24" t="s">
        <v>272</v>
      </c>
      <c r="D259" s="42" t="s">
        <v>5</v>
      </c>
      <c r="E259" s="25" t="s">
        <v>1117</v>
      </c>
      <c r="F259" s="25" t="s">
        <v>1171</v>
      </c>
      <c r="G259" s="26" t="s">
        <v>552</v>
      </c>
      <c r="H259" s="25" t="s">
        <v>610</v>
      </c>
      <c r="I259" s="25" t="s">
        <v>1016</v>
      </c>
      <c r="J259" s="25" t="s">
        <v>578</v>
      </c>
      <c r="K259" s="25" t="s">
        <v>811</v>
      </c>
      <c r="L259" s="25" t="s">
        <v>567</v>
      </c>
      <c r="M259" s="25"/>
      <c r="N259" s="25" t="s">
        <v>602</v>
      </c>
      <c r="O259" s="25" t="s">
        <v>568</v>
      </c>
      <c r="P259" s="25" t="s">
        <v>569</v>
      </c>
      <c r="Q259" s="25"/>
      <c r="R259" s="25" t="s">
        <v>570</v>
      </c>
      <c r="S259" s="25" t="s">
        <v>559</v>
      </c>
      <c r="T259" s="25" t="s">
        <v>1172</v>
      </c>
      <c r="U259" s="25" t="s">
        <v>561</v>
      </c>
    </row>
    <row r="260" spans="1:21" ht="45" customHeight="1" x14ac:dyDescent="0.25">
      <c r="A260" s="43">
        <v>259</v>
      </c>
      <c r="B260" s="43" t="s">
        <v>273</v>
      </c>
      <c r="C260" s="43" t="s">
        <v>273</v>
      </c>
      <c r="D260" s="42" t="s">
        <v>5</v>
      </c>
      <c r="E260" s="44" t="s">
        <v>298</v>
      </c>
      <c r="F260" s="44" t="s">
        <v>1173</v>
      </c>
      <c r="G260" s="42" t="s">
        <v>552</v>
      </c>
      <c r="H260" s="44" t="s">
        <v>610</v>
      </c>
      <c r="I260" s="44" t="s">
        <v>1016</v>
      </c>
      <c r="J260" s="44" t="s">
        <v>578</v>
      </c>
      <c r="K260" s="44" t="s">
        <v>566</v>
      </c>
      <c r="L260" s="44" t="s">
        <v>567</v>
      </c>
      <c r="M260" s="44"/>
      <c r="N260" s="44" t="s">
        <v>602</v>
      </c>
      <c r="O260" s="44" t="s">
        <v>568</v>
      </c>
      <c r="P260" s="44" t="s">
        <v>569</v>
      </c>
      <c r="Q260" s="44"/>
      <c r="R260" s="44" t="s">
        <v>570</v>
      </c>
      <c r="S260" s="44" t="s">
        <v>559</v>
      </c>
      <c r="T260" s="44" t="s">
        <v>1174</v>
      </c>
      <c r="U260" s="44" t="s">
        <v>561</v>
      </c>
    </row>
    <row r="261" spans="1:21" ht="45" customHeight="1" x14ac:dyDescent="0.25">
      <c r="A261" s="24">
        <v>260</v>
      </c>
      <c r="B261" s="24" t="s">
        <v>274</v>
      </c>
      <c r="C261" s="24" t="s">
        <v>274</v>
      </c>
      <c r="D261" s="42" t="s">
        <v>5</v>
      </c>
      <c r="E261" s="25" t="s">
        <v>298</v>
      </c>
      <c r="F261" s="25" t="s">
        <v>1175</v>
      </c>
      <c r="G261" s="26" t="s">
        <v>552</v>
      </c>
      <c r="H261" s="25" t="s">
        <v>610</v>
      </c>
      <c r="I261" s="25" t="s">
        <v>1016</v>
      </c>
      <c r="J261" s="25" t="s">
        <v>578</v>
      </c>
      <c r="K261" s="25" t="s">
        <v>566</v>
      </c>
      <c r="L261" s="25" t="s">
        <v>567</v>
      </c>
      <c r="M261" s="25"/>
      <c r="N261" s="25" t="s">
        <v>602</v>
      </c>
      <c r="O261" s="25"/>
      <c r="P261" s="25" t="s">
        <v>569</v>
      </c>
      <c r="Q261" s="25"/>
      <c r="R261" s="25" t="s">
        <v>570</v>
      </c>
      <c r="S261" s="25" t="s">
        <v>559</v>
      </c>
      <c r="T261" s="25" t="s">
        <v>1176</v>
      </c>
      <c r="U261" s="25" t="s">
        <v>561</v>
      </c>
    </row>
    <row r="262" spans="1:21" ht="45" customHeight="1" x14ac:dyDescent="0.25">
      <c r="A262" s="43">
        <v>261</v>
      </c>
      <c r="B262" s="43" t="s">
        <v>275</v>
      </c>
      <c r="C262" s="43" t="s">
        <v>275</v>
      </c>
      <c r="D262" s="42" t="s">
        <v>5</v>
      </c>
      <c r="E262" s="44" t="s">
        <v>298</v>
      </c>
      <c r="F262" s="44" t="s">
        <v>1177</v>
      </c>
      <c r="G262" s="42" t="s">
        <v>552</v>
      </c>
      <c r="H262" s="44" t="s">
        <v>610</v>
      </c>
      <c r="I262" s="44" t="s">
        <v>1016</v>
      </c>
      <c r="J262" s="44" t="s">
        <v>578</v>
      </c>
      <c r="K262" s="44" t="s">
        <v>566</v>
      </c>
      <c r="L262" s="44" t="s">
        <v>567</v>
      </c>
      <c r="M262" s="44"/>
      <c r="N262" s="44" t="s">
        <v>602</v>
      </c>
      <c r="O262" s="44"/>
      <c r="P262" s="44" t="s">
        <v>569</v>
      </c>
      <c r="Q262" s="44"/>
      <c r="R262" s="44" t="s">
        <v>570</v>
      </c>
      <c r="S262" s="44" t="s">
        <v>559</v>
      </c>
      <c r="T262" s="44" t="s">
        <v>1178</v>
      </c>
      <c r="U262" s="44" t="s">
        <v>561</v>
      </c>
    </row>
    <row r="263" spans="1:21" ht="45" customHeight="1" x14ac:dyDescent="0.25">
      <c r="A263" s="24">
        <v>262</v>
      </c>
      <c r="B263" s="24" t="s">
        <v>276</v>
      </c>
      <c r="C263" s="24" t="s">
        <v>276</v>
      </c>
      <c r="D263" s="42" t="s">
        <v>5</v>
      </c>
      <c r="E263" s="25" t="s">
        <v>1117</v>
      </c>
      <c r="F263" s="25" t="s">
        <v>1179</v>
      </c>
      <c r="G263" s="26" t="s">
        <v>552</v>
      </c>
      <c r="H263" s="25" t="s">
        <v>610</v>
      </c>
      <c r="I263" s="25" t="s">
        <v>1016</v>
      </c>
      <c r="J263" s="25" t="s">
        <v>578</v>
      </c>
      <c r="K263" s="25" t="s">
        <v>566</v>
      </c>
      <c r="L263" s="25" t="s">
        <v>567</v>
      </c>
      <c r="M263" s="25"/>
      <c r="N263" s="25" t="s">
        <v>602</v>
      </c>
      <c r="O263" s="25" t="s">
        <v>568</v>
      </c>
      <c r="P263" s="25" t="s">
        <v>569</v>
      </c>
      <c r="Q263" s="25"/>
      <c r="R263" s="25" t="s">
        <v>570</v>
      </c>
      <c r="S263" s="25" t="s">
        <v>559</v>
      </c>
      <c r="T263" s="25" t="s">
        <v>1180</v>
      </c>
      <c r="U263" s="25" t="s">
        <v>561</v>
      </c>
    </row>
    <row r="264" spans="1:21" ht="45" customHeight="1" x14ac:dyDescent="0.25">
      <c r="A264" s="43">
        <v>263</v>
      </c>
      <c r="B264" s="43" t="s">
        <v>277</v>
      </c>
      <c r="C264" s="43" t="s">
        <v>277</v>
      </c>
      <c r="D264" s="42" t="s">
        <v>5</v>
      </c>
      <c r="E264" s="44" t="s">
        <v>1117</v>
      </c>
      <c r="F264" s="44" t="s">
        <v>1181</v>
      </c>
      <c r="G264" s="42" t="s">
        <v>552</v>
      </c>
      <c r="H264" s="44" t="s">
        <v>610</v>
      </c>
      <c r="I264" s="44" t="s">
        <v>1016</v>
      </c>
      <c r="J264" s="44" t="s">
        <v>578</v>
      </c>
      <c r="K264" s="44" t="s">
        <v>566</v>
      </c>
      <c r="L264" s="44" t="s">
        <v>1046</v>
      </c>
      <c r="M264" s="44" t="s">
        <v>1182</v>
      </c>
      <c r="N264" s="44" t="s">
        <v>602</v>
      </c>
      <c r="O264" s="44" t="s">
        <v>568</v>
      </c>
      <c r="P264" s="44" t="s">
        <v>569</v>
      </c>
      <c r="Q264" s="44"/>
      <c r="R264" s="44" t="s">
        <v>570</v>
      </c>
      <c r="S264" s="44" t="s">
        <v>1048</v>
      </c>
      <c r="T264" s="44" t="s">
        <v>1183</v>
      </c>
      <c r="U264" s="44" t="s">
        <v>1050</v>
      </c>
    </row>
    <row r="265" spans="1:21" ht="45" customHeight="1" x14ac:dyDescent="0.25">
      <c r="A265" s="24">
        <v>264</v>
      </c>
      <c r="B265" s="24" t="s">
        <v>278</v>
      </c>
      <c r="C265" s="24" t="s">
        <v>278</v>
      </c>
      <c r="D265" s="42" t="s">
        <v>5</v>
      </c>
      <c r="E265" s="25" t="s">
        <v>1117</v>
      </c>
      <c r="F265" s="25" t="s">
        <v>1184</v>
      </c>
      <c r="G265" s="26" t="s">
        <v>552</v>
      </c>
      <c r="H265" s="25" t="s">
        <v>610</v>
      </c>
      <c r="I265" s="25" t="s">
        <v>1016</v>
      </c>
      <c r="J265" s="25" t="s">
        <v>578</v>
      </c>
      <c r="K265" s="25" t="s">
        <v>811</v>
      </c>
      <c r="L265" s="25" t="s">
        <v>1046</v>
      </c>
      <c r="M265" s="25" t="s">
        <v>1185</v>
      </c>
      <c r="N265" s="25" t="s">
        <v>602</v>
      </c>
      <c r="O265" s="25" t="s">
        <v>568</v>
      </c>
      <c r="P265" s="25" t="s">
        <v>569</v>
      </c>
      <c r="Q265" s="25"/>
      <c r="R265" s="25" t="s">
        <v>570</v>
      </c>
      <c r="S265" s="25" t="s">
        <v>1048</v>
      </c>
      <c r="T265" s="25" t="s">
        <v>1186</v>
      </c>
      <c r="U265" s="25" t="s">
        <v>1050</v>
      </c>
    </row>
    <row r="266" spans="1:21" ht="45" customHeight="1" x14ac:dyDescent="0.25">
      <c r="A266" s="43">
        <v>265</v>
      </c>
      <c r="B266" s="43" t="s">
        <v>279</v>
      </c>
      <c r="C266" s="43" t="s">
        <v>279</v>
      </c>
      <c r="D266" s="42" t="s">
        <v>5</v>
      </c>
      <c r="E266" s="44" t="s">
        <v>550</v>
      </c>
      <c r="F266" s="44" t="s">
        <v>1187</v>
      </c>
      <c r="G266" s="43" t="s">
        <v>573</v>
      </c>
      <c r="H266" s="44" t="s">
        <v>610</v>
      </c>
      <c r="I266" s="44" t="s">
        <v>1016</v>
      </c>
      <c r="J266" s="44" t="s">
        <v>578</v>
      </c>
      <c r="K266" s="44" t="s">
        <v>566</v>
      </c>
      <c r="L266" s="44" t="s">
        <v>567</v>
      </c>
      <c r="M266" s="44"/>
      <c r="N266" s="44"/>
      <c r="O266" s="44"/>
      <c r="P266" s="44" t="s">
        <v>569</v>
      </c>
      <c r="Q266" s="44"/>
      <c r="R266" s="44" t="s">
        <v>558</v>
      </c>
      <c r="S266" s="44" t="s">
        <v>559</v>
      </c>
      <c r="T266" s="44" t="s">
        <v>1188</v>
      </c>
      <c r="U266" s="44"/>
    </row>
    <row r="267" spans="1:21" ht="45" customHeight="1" x14ac:dyDescent="0.25">
      <c r="A267" s="24">
        <v>266</v>
      </c>
      <c r="B267" s="24" t="s">
        <v>280</v>
      </c>
      <c r="C267" s="24" t="s">
        <v>280</v>
      </c>
      <c r="D267" s="42" t="s">
        <v>5</v>
      </c>
      <c r="E267" s="25" t="s">
        <v>1074</v>
      </c>
      <c r="F267" s="25" t="s">
        <v>1189</v>
      </c>
      <c r="G267" s="24" t="s">
        <v>573</v>
      </c>
      <c r="H267" s="25" t="s">
        <v>610</v>
      </c>
      <c r="I267" s="25" t="s">
        <v>1016</v>
      </c>
      <c r="J267" s="25" t="s">
        <v>578</v>
      </c>
      <c r="K267" s="25" t="s">
        <v>1078</v>
      </c>
      <c r="L267" s="25" t="s">
        <v>567</v>
      </c>
      <c r="M267" s="25"/>
      <c r="N267" s="25"/>
      <c r="O267" s="25"/>
      <c r="P267" s="25" t="s">
        <v>569</v>
      </c>
      <c r="Q267" s="25"/>
      <c r="R267" s="25" t="s">
        <v>558</v>
      </c>
      <c r="S267" s="25" t="s">
        <v>559</v>
      </c>
      <c r="T267" s="25" t="s">
        <v>1190</v>
      </c>
      <c r="U267" s="25"/>
    </row>
    <row r="268" spans="1:21" ht="45" customHeight="1" x14ac:dyDescent="0.25">
      <c r="A268" s="43">
        <v>267</v>
      </c>
      <c r="B268" s="43" t="s">
        <v>281</v>
      </c>
      <c r="C268" s="43" t="s">
        <v>281</v>
      </c>
      <c r="D268" s="42" t="s">
        <v>5</v>
      </c>
      <c r="E268" s="44" t="s">
        <v>608</v>
      </c>
      <c r="F268" s="44" t="s">
        <v>1191</v>
      </c>
      <c r="G268" s="42" t="s">
        <v>552</v>
      </c>
      <c r="H268" s="44" t="s">
        <v>610</v>
      </c>
      <c r="I268" s="44" t="s">
        <v>1016</v>
      </c>
      <c r="J268" s="44" t="s">
        <v>578</v>
      </c>
      <c r="K268" s="44" t="s">
        <v>566</v>
      </c>
      <c r="L268" s="44" t="s">
        <v>567</v>
      </c>
      <c r="M268" s="44"/>
      <c r="N268" s="44" t="s">
        <v>612</v>
      </c>
      <c r="O268" s="44" t="s">
        <v>568</v>
      </c>
      <c r="P268" s="44" t="s">
        <v>569</v>
      </c>
      <c r="Q268" s="44"/>
      <c r="R268" s="44" t="s">
        <v>570</v>
      </c>
      <c r="S268" s="44" t="s">
        <v>559</v>
      </c>
      <c r="T268" s="44" t="s">
        <v>1192</v>
      </c>
      <c r="U268" s="44" t="s">
        <v>591</v>
      </c>
    </row>
    <row r="269" spans="1:21" ht="45" customHeight="1" x14ac:dyDescent="0.25">
      <c r="A269" s="24">
        <v>268</v>
      </c>
      <c r="B269" s="24" t="s">
        <v>282</v>
      </c>
      <c r="C269" s="24" t="s">
        <v>282</v>
      </c>
      <c r="D269" s="42" t="s">
        <v>5</v>
      </c>
      <c r="E269" s="25" t="s">
        <v>550</v>
      </c>
      <c r="F269" s="25" t="s">
        <v>1193</v>
      </c>
      <c r="G269" s="24" t="s">
        <v>573</v>
      </c>
      <c r="H269" s="25" t="s">
        <v>553</v>
      </c>
      <c r="I269" s="25" t="s">
        <v>1016</v>
      </c>
      <c r="J269" s="25" t="s">
        <v>555</v>
      </c>
      <c r="K269" s="25" t="s">
        <v>566</v>
      </c>
      <c r="L269" s="25" t="s">
        <v>567</v>
      </c>
      <c r="M269" s="25"/>
      <c r="N269" s="25"/>
      <c r="O269" s="25"/>
      <c r="P269" s="25" t="s">
        <v>569</v>
      </c>
      <c r="Q269" s="25"/>
      <c r="R269" s="25" t="s">
        <v>558</v>
      </c>
      <c r="S269" s="25" t="s">
        <v>559</v>
      </c>
      <c r="T269" s="25" t="s">
        <v>1194</v>
      </c>
      <c r="U269" s="25"/>
    </row>
    <row r="270" spans="1:21" ht="45" customHeight="1" x14ac:dyDescent="0.25">
      <c r="A270" s="43">
        <v>269</v>
      </c>
      <c r="B270" s="43" t="s">
        <v>283</v>
      </c>
      <c r="C270" s="43" t="s">
        <v>283</v>
      </c>
      <c r="D270" s="42" t="s">
        <v>5</v>
      </c>
      <c r="E270" s="44" t="s">
        <v>550</v>
      </c>
      <c r="F270" s="44" t="s">
        <v>1195</v>
      </c>
      <c r="G270" s="43" t="s">
        <v>573</v>
      </c>
      <c r="H270" s="44" t="s">
        <v>553</v>
      </c>
      <c r="I270" s="44" t="s">
        <v>1016</v>
      </c>
      <c r="J270" s="44" t="s">
        <v>555</v>
      </c>
      <c r="K270" s="44" t="s">
        <v>556</v>
      </c>
      <c r="L270" s="44" t="s">
        <v>557</v>
      </c>
      <c r="M270" s="44"/>
      <c r="N270" s="44"/>
      <c r="O270" s="44"/>
      <c r="P270" s="44"/>
      <c r="Q270" s="44"/>
      <c r="R270" s="44" t="s">
        <v>558</v>
      </c>
      <c r="S270" s="44" t="s">
        <v>559</v>
      </c>
      <c r="T270" s="44" t="s">
        <v>1196</v>
      </c>
      <c r="U270" s="44"/>
    </row>
    <row r="271" spans="1:21" ht="45" customHeight="1" x14ac:dyDescent="0.25">
      <c r="A271" s="24">
        <v>270</v>
      </c>
      <c r="B271" s="24" t="s">
        <v>284</v>
      </c>
      <c r="C271" s="24" t="s">
        <v>284</v>
      </c>
      <c r="D271" s="42" t="s">
        <v>5</v>
      </c>
      <c r="E271" s="25" t="s">
        <v>692</v>
      </c>
      <c r="F271" s="25" t="s">
        <v>1197</v>
      </c>
      <c r="G271" s="26" t="s">
        <v>552</v>
      </c>
      <c r="H271" s="25" t="s">
        <v>564</v>
      </c>
      <c r="I271" s="25" t="s">
        <v>1016</v>
      </c>
      <c r="J271" s="25" t="s">
        <v>565</v>
      </c>
      <c r="K271" s="25" t="s">
        <v>566</v>
      </c>
      <c r="L271" s="25" t="s">
        <v>567</v>
      </c>
      <c r="M271" s="25"/>
      <c r="N271" s="25" t="s">
        <v>602</v>
      </c>
      <c r="O271" s="25" t="s">
        <v>568</v>
      </c>
      <c r="P271" s="25" t="s">
        <v>569</v>
      </c>
      <c r="Q271" s="25"/>
      <c r="R271" s="25" t="s">
        <v>570</v>
      </c>
      <c r="S271" s="25" t="s">
        <v>559</v>
      </c>
      <c r="T271" s="25" t="s">
        <v>1198</v>
      </c>
      <c r="U271" s="25" t="s">
        <v>561</v>
      </c>
    </row>
    <row r="272" spans="1:21" ht="45" customHeight="1" x14ac:dyDescent="0.25">
      <c r="A272" s="43">
        <v>271</v>
      </c>
      <c r="B272" s="43" t="s">
        <v>285</v>
      </c>
      <c r="C272" s="43" t="s">
        <v>285</v>
      </c>
      <c r="D272" s="42" t="s">
        <v>5</v>
      </c>
      <c r="E272" s="44" t="s">
        <v>1117</v>
      </c>
      <c r="F272" s="44" t="s">
        <v>1199</v>
      </c>
      <c r="G272" s="42" t="s">
        <v>552</v>
      </c>
      <c r="H272" s="44" t="s">
        <v>564</v>
      </c>
      <c r="I272" s="44" t="s">
        <v>1016</v>
      </c>
      <c r="J272" s="44" t="s">
        <v>565</v>
      </c>
      <c r="K272" s="44" t="s">
        <v>566</v>
      </c>
      <c r="L272" s="44" t="s">
        <v>567</v>
      </c>
      <c r="M272" s="44"/>
      <c r="N272" s="44" t="s">
        <v>602</v>
      </c>
      <c r="O272" s="44" t="s">
        <v>568</v>
      </c>
      <c r="P272" s="44" t="s">
        <v>569</v>
      </c>
      <c r="Q272" s="44"/>
      <c r="R272" s="44" t="s">
        <v>570</v>
      </c>
      <c r="S272" s="44" t="s">
        <v>559</v>
      </c>
      <c r="T272" s="44" t="s">
        <v>1200</v>
      </c>
      <c r="U272" s="44" t="s">
        <v>561</v>
      </c>
    </row>
    <row r="273" spans="1:21" ht="45" customHeight="1" x14ac:dyDescent="0.25">
      <c r="A273" s="24">
        <v>272</v>
      </c>
      <c r="B273" s="24" t="s">
        <v>286</v>
      </c>
      <c r="C273" s="24" t="s">
        <v>286</v>
      </c>
      <c r="D273" s="42" t="s">
        <v>5</v>
      </c>
      <c r="E273" s="25" t="s">
        <v>297</v>
      </c>
      <c r="F273" s="25" t="s">
        <v>1201</v>
      </c>
      <c r="G273" s="24" t="s">
        <v>573</v>
      </c>
      <c r="H273" s="25" t="s">
        <v>610</v>
      </c>
      <c r="I273" s="25" t="s">
        <v>1016</v>
      </c>
      <c r="J273" s="25" t="s">
        <v>578</v>
      </c>
      <c r="K273" s="25" t="s">
        <v>556</v>
      </c>
      <c r="L273" s="25" t="s">
        <v>1046</v>
      </c>
      <c r="M273" s="25" t="s">
        <v>1202</v>
      </c>
      <c r="N273" s="25"/>
      <c r="O273" s="25"/>
      <c r="P273" s="25" t="s">
        <v>569</v>
      </c>
      <c r="Q273" s="25"/>
      <c r="R273" s="25" t="s">
        <v>558</v>
      </c>
      <c r="S273" s="25" t="s">
        <v>1048</v>
      </c>
      <c r="T273" s="25" t="s">
        <v>1203</v>
      </c>
      <c r="U273" s="25" t="s">
        <v>1050</v>
      </c>
    </row>
    <row r="274" spans="1:21" ht="45" customHeight="1" x14ac:dyDescent="0.25">
      <c r="A274" s="43">
        <v>273</v>
      </c>
      <c r="B274" s="43" t="s">
        <v>287</v>
      </c>
      <c r="C274" s="43" t="s">
        <v>287</v>
      </c>
      <c r="D274" s="42" t="s">
        <v>5</v>
      </c>
      <c r="E274" s="44" t="s">
        <v>1204</v>
      </c>
      <c r="F274" s="44" t="s">
        <v>1205</v>
      </c>
      <c r="G274" s="42" t="s">
        <v>552</v>
      </c>
      <c r="H274" s="44" t="s">
        <v>610</v>
      </c>
      <c r="I274" s="44" t="s">
        <v>1016</v>
      </c>
      <c r="J274" s="44" t="s">
        <v>578</v>
      </c>
      <c r="K274" s="44" t="s">
        <v>566</v>
      </c>
      <c r="L274" s="44" t="s">
        <v>1046</v>
      </c>
      <c r="M274" s="44" t="s">
        <v>1206</v>
      </c>
      <c r="N274" s="44"/>
      <c r="O274" s="44"/>
      <c r="P274" s="44" t="s">
        <v>569</v>
      </c>
      <c r="Q274" s="44"/>
      <c r="R274" s="44" t="s">
        <v>570</v>
      </c>
      <c r="S274" s="44" t="s">
        <v>1048</v>
      </c>
      <c r="T274" s="44" t="s">
        <v>1207</v>
      </c>
      <c r="U274" s="44" t="s">
        <v>1050</v>
      </c>
    </row>
    <row r="275" spans="1:21" ht="45" customHeight="1" x14ac:dyDescent="0.25">
      <c r="A275" s="24">
        <v>274</v>
      </c>
      <c r="B275" s="24" t="s">
        <v>288</v>
      </c>
      <c r="C275" s="24" t="s">
        <v>288</v>
      </c>
      <c r="D275" s="42" t="s">
        <v>5</v>
      </c>
      <c r="E275" s="25" t="s">
        <v>1208</v>
      </c>
      <c r="F275" s="25" t="s">
        <v>1209</v>
      </c>
      <c r="G275" s="24" t="s">
        <v>573</v>
      </c>
      <c r="H275" s="25" t="s">
        <v>610</v>
      </c>
      <c r="I275" s="25" t="s">
        <v>1016</v>
      </c>
      <c r="J275" s="25" t="s">
        <v>578</v>
      </c>
      <c r="K275" s="25" t="s">
        <v>566</v>
      </c>
      <c r="L275" s="25" t="s">
        <v>1046</v>
      </c>
      <c r="M275" s="25" t="s">
        <v>1210</v>
      </c>
      <c r="N275" s="25"/>
      <c r="O275" s="25"/>
      <c r="P275" s="25" t="s">
        <v>569</v>
      </c>
      <c r="Q275" s="25"/>
      <c r="R275" s="25" t="s">
        <v>570</v>
      </c>
      <c r="S275" s="25" t="s">
        <v>1048</v>
      </c>
      <c r="T275" s="25" t="s">
        <v>1211</v>
      </c>
      <c r="U275" s="25" t="s">
        <v>1050</v>
      </c>
    </row>
    <row r="276" spans="1:21" ht="45" customHeight="1" x14ac:dyDescent="0.25">
      <c r="A276" s="43">
        <v>275</v>
      </c>
      <c r="B276" s="43" t="s">
        <v>289</v>
      </c>
      <c r="C276" s="43" t="s">
        <v>289</v>
      </c>
      <c r="D276" s="42" t="s">
        <v>5</v>
      </c>
      <c r="E276" s="44" t="s">
        <v>977</v>
      </c>
      <c r="F276" s="44" t="s">
        <v>1212</v>
      </c>
      <c r="G276" s="43" t="s">
        <v>573</v>
      </c>
      <c r="H276" s="44" t="s">
        <v>610</v>
      </c>
      <c r="I276" s="44" t="s">
        <v>1016</v>
      </c>
      <c r="J276" s="44" t="s">
        <v>578</v>
      </c>
      <c r="K276" s="44" t="s">
        <v>566</v>
      </c>
      <c r="L276" s="44" t="s">
        <v>567</v>
      </c>
      <c r="M276" s="44"/>
      <c r="N276" s="44"/>
      <c r="O276" s="44"/>
      <c r="P276" s="44" t="s">
        <v>569</v>
      </c>
      <c r="Q276" s="44" t="s">
        <v>635</v>
      </c>
      <c r="R276" s="44" t="s">
        <v>558</v>
      </c>
      <c r="S276" s="44" t="s">
        <v>559</v>
      </c>
      <c r="T276" s="44" t="s">
        <v>1213</v>
      </c>
      <c r="U276" s="44"/>
    </row>
    <row r="277" spans="1:21" ht="45" customHeight="1" x14ac:dyDescent="0.25">
      <c r="A277" s="24">
        <v>276</v>
      </c>
      <c r="B277" s="24" t="s">
        <v>290</v>
      </c>
      <c r="C277" s="24" t="s">
        <v>290</v>
      </c>
      <c r="D277" s="42" t="s">
        <v>5</v>
      </c>
      <c r="E277" s="25" t="s">
        <v>1135</v>
      </c>
      <c r="F277" s="25" t="s">
        <v>1214</v>
      </c>
      <c r="G277" s="26" t="s">
        <v>552</v>
      </c>
      <c r="H277" s="25" t="s">
        <v>600</v>
      </c>
      <c r="I277" s="25" t="s">
        <v>1016</v>
      </c>
      <c r="J277" s="25" t="s">
        <v>578</v>
      </c>
      <c r="K277" s="25" t="s">
        <v>556</v>
      </c>
      <c r="L277" s="25" t="s">
        <v>557</v>
      </c>
      <c r="M277" s="25"/>
      <c r="N277" s="25"/>
      <c r="O277" s="25"/>
      <c r="P277" s="25"/>
      <c r="Q277" s="25"/>
      <c r="R277" s="25" t="s">
        <v>570</v>
      </c>
      <c r="S277" s="25" t="s">
        <v>559</v>
      </c>
      <c r="T277" s="25" t="s">
        <v>1215</v>
      </c>
      <c r="U277" s="25" t="s">
        <v>561</v>
      </c>
    </row>
    <row r="278" spans="1:21" ht="45" customHeight="1" x14ac:dyDescent="0.25">
      <c r="A278" s="43">
        <v>277</v>
      </c>
      <c r="B278" s="43" t="s">
        <v>291</v>
      </c>
      <c r="C278" s="43" t="s">
        <v>291</v>
      </c>
      <c r="D278" s="42" t="s">
        <v>5</v>
      </c>
      <c r="E278" s="44" t="s">
        <v>1135</v>
      </c>
      <c r="F278" s="44" t="s">
        <v>1216</v>
      </c>
      <c r="G278" s="42" t="s">
        <v>552</v>
      </c>
      <c r="H278" s="44" t="s">
        <v>600</v>
      </c>
      <c r="I278" s="44" t="s">
        <v>1016</v>
      </c>
      <c r="J278" s="44" t="s">
        <v>1217</v>
      </c>
      <c r="K278" s="44" t="s">
        <v>556</v>
      </c>
      <c r="L278" s="44" t="s">
        <v>557</v>
      </c>
      <c r="M278" s="44"/>
      <c r="N278" s="44"/>
      <c r="O278" s="44"/>
      <c r="P278" s="44"/>
      <c r="Q278" s="44"/>
      <c r="R278" s="44" t="s">
        <v>570</v>
      </c>
      <c r="S278" s="44" t="s">
        <v>559</v>
      </c>
      <c r="T278" s="44" t="s">
        <v>1218</v>
      </c>
      <c r="U278" s="44" t="s">
        <v>561</v>
      </c>
    </row>
    <row r="279" spans="1:21" ht="45" customHeight="1" x14ac:dyDescent="0.25">
      <c r="A279" s="24">
        <v>278</v>
      </c>
      <c r="B279" s="24" t="s">
        <v>292</v>
      </c>
      <c r="C279" s="24" t="s">
        <v>292</v>
      </c>
      <c r="D279" s="42" t="s">
        <v>5</v>
      </c>
      <c r="E279" s="25" t="s">
        <v>1108</v>
      </c>
      <c r="F279" s="25" t="s">
        <v>1219</v>
      </c>
      <c r="G279" s="24" t="s">
        <v>573</v>
      </c>
      <c r="H279" s="25" t="s">
        <v>610</v>
      </c>
      <c r="I279" s="25" t="s">
        <v>1016</v>
      </c>
      <c r="J279" s="25" t="s">
        <v>578</v>
      </c>
      <c r="K279" s="25" t="s">
        <v>1110</v>
      </c>
      <c r="L279" s="25" t="s">
        <v>567</v>
      </c>
      <c r="M279" s="25"/>
      <c r="N279" s="25" t="s">
        <v>1111</v>
      </c>
      <c r="O279" s="25"/>
      <c r="P279" s="25" t="s">
        <v>569</v>
      </c>
      <c r="Q279" s="25"/>
      <c r="R279" s="25" t="s">
        <v>570</v>
      </c>
      <c r="S279" s="25" t="s">
        <v>559</v>
      </c>
      <c r="T279" s="25" t="s">
        <v>1220</v>
      </c>
      <c r="U279" s="25"/>
    </row>
    <row r="280" spans="1:21" ht="45" customHeight="1" x14ac:dyDescent="0.25">
      <c r="A280" s="43">
        <v>279</v>
      </c>
      <c r="B280" s="43" t="s">
        <v>293</v>
      </c>
      <c r="C280" s="43" t="s">
        <v>293</v>
      </c>
      <c r="D280" s="42" t="s">
        <v>5</v>
      </c>
      <c r="E280" s="44" t="s">
        <v>1108</v>
      </c>
      <c r="F280" s="44" t="s">
        <v>1221</v>
      </c>
      <c r="G280" s="43" t="s">
        <v>573</v>
      </c>
      <c r="H280" s="44" t="s">
        <v>610</v>
      </c>
      <c r="I280" s="44" t="s">
        <v>1016</v>
      </c>
      <c r="J280" s="44" t="s">
        <v>578</v>
      </c>
      <c r="K280" s="44" t="s">
        <v>1110</v>
      </c>
      <c r="L280" s="44" t="s">
        <v>567</v>
      </c>
      <c r="M280" s="44"/>
      <c r="N280" s="44" t="s">
        <v>1111</v>
      </c>
      <c r="O280" s="44"/>
      <c r="P280" s="44" t="s">
        <v>569</v>
      </c>
      <c r="Q280" s="44"/>
      <c r="R280" s="44" t="s">
        <v>570</v>
      </c>
      <c r="S280" s="44" t="s">
        <v>559</v>
      </c>
      <c r="T280" s="44" t="s">
        <v>1222</v>
      </c>
      <c r="U280" s="44"/>
    </row>
    <row r="281" spans="1:21" ht="45" customHeight="1" x14ac:dyDescent="0.25">
      <c r="A281" s="24">
        <v>280</v>
      </c>
      <c r="B281" s="24" t="s">
        <v>294</v>
      </c>
      <c r="C281" s="24" t="s">
        <v>294</v>
      </c>
      <c r="D281" s="42" t="s">
        <v>5</v>
      </c>
      <c r="E281" s="25" t="s">
        <v>632</v>
      </c>
      <c r="F281" s="25" t="s">
        <v>1223</v>
      </c>
      <c r="G281" s="24" t="s">
        <v>573</v>
      </c>
      <c r="H281" s="25" t="s">
        <v>564</v>
      </c>
      <c r="I281" s="25" t="s">
        <v>1016</v>
      </c>
      <c r="J281" s="25" t="s">
        <v>565</v>
      </c>
      <c r="K281" s="25" t="s">
        <v>566</v>
      </c>
      <c r="L281" s="25" t="s">
        <v>1046</v>
      </c>
      <c r="M281" s="25" t="s">
        <v>1224</v>
      </c>
      <c r="N281" s="25" t="s">
        <v>634</v>
      </c>
      <c r="O281" s="25"/>
      <c r="P281" s="25" t="s">
        <v>569</v>
      </c>
      <c r="Q281" s="25"/>
      <c r="R281" s="25" t="s">
        <v>570</v>
      </c>
      <c r="S281" s="25" t="s">
        <v>559</v>
      </c>
      <c r="T281" s="25" t="s">
        <v>1225</v>
      </c>
      <c r="U281" s="25" t="s">
        <v>1050</v>
      </c>
    </row>
    <row r="282" spans="1:21" ht="45" customHeight="1" x14ac:dyDescent="0.25">
      <c r="A282" s="43">
        <v>281</v>
      </c>
      <c r="B282" s="43" t="s">
        <v>295</v>
      </c>
      <c r="C282" s="43" t="s">
        <v>295</v>
      </c>
      <c r="D282" s="42" t="s">
        <v>5</v>
      </c>
      <c r="E282" s="44" t="s">
        <v>632</v>
      </c>
      <c r="F282" s="44" t="s">
        <v>1226</v>
      </c>
      <c r="G282" s="43" t="s">
        <v>573</v>
      </c>
      <c r="H282" s="44" t="s">
        <v>610</v>
      </c>
      <c r="I282" s="44" t="s">
        <v>1016</v>
      </c>
      <c r="J282" s="44" t="s">
        <v>578</v>
      </c>
      <c r="K282" s="44" t="s">
        <v>638</v>
      </c>
      <c r="L282" s="44" t="s">
        <v>1046</v>
      </c>
      <c r="M282" s="44" t="s">
        <v>1227</v>
      </c>
      <c r="N282" s="44" t="s">
        <v>634</v>
      </c>
      <c r="O282" s="44"/>
      <c r="P282" s="44" t="s">
        <v>569</v>
      </c>
      <c r="Q282" s="44"/>
      <c r="R282" s="44" t="s">
        <v>570</v>
      </c>
      <c r="S282" s="44" t="s">
        <v>1048</v>
      </c>
      <c r="T282" s="44" t="s">
        <v>1228</v>
      </c>
      <c r="U282" s="44" t="s">
        <v>1050</v>
      </c>
    </row>
    <row r="283" spans="1:21" ht="45" customHeight="1" x14ac:dyDescent="0.25">
      <c r="A283" s="24">
        <v>282</v>
      </c>
      <c r="B283" s="24" t="s">
        <v>296</v>
      </c>
      <c r="C283" s="24" t="s">
        <v>296</v>
      </c>
      <c r="D283" s="42" t="s">
        <v>5</v>
      </c>
      <c r="E283" s="25" t="s">
        <v>550</v>
      </c>
      <c r="F283" s="25" t="s">
        <v>1229</v>
      </c>
      <c r="G283" s="24" t="s">
        <v>573</v>
      </c>
      <c r="H283" s="25" t="s">
        <v>564</v>
      </c>
      <c r="I283" s="25" t="s">
        <v>1016</v>
      </c>
      <c r="J283" s="25" t="s">
        <v>565</v>
      </c>
      <c r="K283" s="25" t="s">
        <v>566</v>
      </c>
      <c r="L283" s="25" t="s">
        <v>567</v>
      </c>
      <c r="M283" s="25"/>
      <c r="N283" s="25"/>
      <c r="O283" s="25"/>
      <c r="P283" s="25" t="s">
        <v>569</v>
      </c>
      <c r="Q283" s="25"/>
      <c r="R283" s="25" t="s">
        <v>558</v>
      </c>
      <c r="S283" s="25" t="s">
        <v>559</v>
      </c>
      <c r="T283" s="25" t="s">
        <v>1230</v>
      </c>
      <c r="U283" s="25"/>
    </row>
    <row r="284" spans="1:21" ht="45" customHeight="1" x14ac:dyDescent="0.25">
      <c r="A284" s="43">
        <v>283</v>
      </c>
      <c r="B284" s="43" t="s">
        <v>297</v>
      </c>
      <c r="C284" s="43" t="s">
        <v>297</v>
      </c>
      <c r="D284" s="42" t="s">
        <v>5</v>
      </c>
      <c r="E284" s="44" t="s">
        <v>297</v>
      </c>
      <c r="F284" s="44" t="s">
        <v>1231</v>
      </c>
      <c r="G284" s="43" t="s">
        <v>573</v>
      </c>
      <c r="H284" s="44" t="s">
        <v>610</v>
      </c>
      <c r="I284" s="44" t="s">
        <v>1016</v>
      </c>
      <c r="J284" s="44" t="s">
        <v>578</v>
      </c>
      <c r="K284" s="44" t="s">
        <v>556</v>
      </c>
      <c r="L284" s="44" t="s">
        <v>567</v>
      </c>
      <c r="M284" s="44"/>
      <c r="N284" s="44"/>
      <c r="O284" s="44"/>
      <c r="P284" s="44" t="s">
        <v>569</v>
      </c>
      <c r="Q284" s="44"/>
      <c r="R284" s="44" t="s">
        <v>558</v>
      </c>
      <c r="S284" s="44" t="s">
        <v>559</v>
      </c>
      <c r="T284" s="44" t="s">
        <v>1232</v>
      </c>
      <c r="U284" s="44"/>
    </row>
    <row r="285" spans="1:21" ht="45" customHeight="1" x14ac:dyDescent="0.25">
      <c r="A285" s="24">
        <v>284</v>
      </c>
      <c r="B285" s="24" t="s">
        <v>298</v>
      </c>
      <c r="C285" s="24" t="s">
        <v>298</v>
      </c>
      <c r="D285" s="42" t="s">
        <v>5</v>
      </c>
      <c r="E285" s="25" t="s">
        <v>298</v>
      </c>
      <c r="F285" s="25" t="s">
        <v>1233</v>
      </c>
      <c r="G285" s="26" t="s">
        <v>552</v>
      </c>
      <c r="H285" s="25" t="s">
        <v>553</v>
      </c>
      <c r="I285" s="25" t="s">
        <v>1016</v>
      </c>
      <c r="J285" s="25" t="s">
        <v>555</v>
      </c>
      <c r="K285" s="25" t="s">
        <v>566</v>
      </c>
      <c r="L285" s="25" t="s">
        <v>567</v>
      </c>
      <c r="M285" s="25"/>
      <c r="N285" s="25"/>
      <c r="O285" s="25"/>
      <c r="P285" s="25" t="s">
        <v>569</v>
      </c>
      <c r="Q285" s="25"/>
      <c r="R285" s="25" t="s">
        <v>570</v>
      </c>
      <c r="S285" s="25" t="s">
        <v>559</v>
      </c>
      <c r="T285" s="25" t="s">
        <v>1234</v>
      </c>
      <c r="U285" s="25" t="s">
        <v>561</v>
      </c>
    </row>
    <row r="286" spans="1:21" ht="45" customHeight="1" x14ac:dyDescent="0.25">
      <c r="A286" s="43">
        <v>285</v>
      </c>
      <c r="B286" s="43" t="s">
        <v>299</v>
      </c>
      <c r="C286" s="43" t="s">
        <v>299</v>
      </c>
      <c r="D286" s="42" t="s">
        <v>5</v>
      </c>
      <c r="E286" s="44" t="s">
        <v>1042</v>
      </c>
      <c r="F286" s="44" t="s">
        <v>1235</v>
      </c>
      <c r="G286" s="43" t="s">
        <v>573</v>
      </c>
      <c r="H286" s="44" t="s">
        <v>553</v>
      </c>
      <c r="I286" s="44" t="s">
        <v>1016</v>
      </c>
      <c r="J286" s="44" t="s">
        <v>555</v>
      </c>
      <c r="K286" s="44" t="s">
        <v>566</v>
      </c>
      <c r="L286" s="44" t="s">
        <v>567</v>
      </c>
      <c r="M286" s="44"/>
      <c r="N286" s="44"/>
      <c r="O286" s="44"/>
      <c r="P286" s="44" t="s">
        <v>569</v>
      </c>
      <c r="Q286" s="44"/>
      <c r="R286" s="44" t="s">
        <v>558</v>
      </c>
      <c r="S286" s="44" t="s">
        <v>559</v>
      </c>
      <c r="T286" s="44" t="s">
        <v>1236</v>
      </c>
      <c r="U286" s="44"/>
    </row>
    <row r="287" spans="1:21" ht="45" customHeight="1" x14ac:dyDescent="0.25">
      <c r="A287" s="24">
        <v>286</v>
      </c>
      <c r="B287" s="24" t="s">
        <v>300</v>
      </c>
      <c r="C287" s="24" t="s">
        <v>300</v>
      </c>
      <c r="D287" s="42" t="s">
        <v>5</v>
      </c>
      <c r="E287" s="25" t="s">
        <v>1108</v>
      </c>
      <c r="F287" s="25" t="s">
        <v>1237</v>
      </c>
      <c r="G287" s="24" t="s">
        <v>573</v>
      </c>
      <c r="H287" s="25" t="s">
        <v>610</v>
      </c>
      <c r="I287" s="25" t="s">
        <v>1016</v>
      </c>
      <c r="J287" s="25" t="s">
        <v>578</v>
      </c>
      <c r="K287" s="25" t="s">
        <v>1110</v>
      </c>
      <c r="L287" s="25" t="s">
        <v>567</v>
      </c>
      <c r="M287" s="25"/>
      <c r="N287" s="25" t="s">
        <v>1111</v>
      </c>
      <c r="O287" s="25"/>
      <c r="P287" s="25" t="s">
        <v>569</v>
      </c>
      <c r="Q287" s="25"/>
      <c r="R287" s="25" t="s">
        <v>570</v>
      </c>
      <c r="S287" s="25" t="s">
        <v>559</v>
      </c>
      <c r="T287" s="25" t="s">
        <v>1238</v>
      </c>
      <c r="U287" s="25"/>
    </row>
    <row r="288" spans="1:21" ht="45" customHeight="1" x14ac:dyDescent="0.25">
      <c r="A288" s="43">
        <v>287</v>
      </c>
      <c r="B288" s="43" t="s">
        <v>301</v>
      </c>
      <c r="C288" s="43" t="s">
        <v>301</v>
      </c>
      <c r="D288" s="42" t="s">
        <v>5</v>
      </c>
      <c r="E288" s="44" t="s">
        <v>1108</v>
      </c>
      <c r="F288" s="44" t="s">
        <v>1239</v>
      </c>
      <c r="G288" s="43" t="s">
        <v>573</v>
      </c>
      <c r="H288" s="44" t="s">
        <v>610</v>
      </c>
      <c r="I288" s="44" t="s">
        <v>1016</v>
      </c>
      <c r="J288" s="44" t="s">
        <v>578</v>
      </c>
      <c r="K288" s="44" t="s">
        <v>1110</v>
      </c>
      <c r="L288" s="44" t="s">
        <v>567</v>
      </c>
      <c r="M288" s="44"/>
      <c r="N288" s="44" t="s">
        <v>1111</v>
      </c>
      <c r="O288" s="44"/>
      <c r="P288" s="44" t="s">
        <v>569</v>
      </c>
      <c r="Q288" s="44"/>
      <c r="R288" s="44" t="s">
        <v>570</v>
      </c>
      <c r="S288" s="44" t="s">
        <v>559</v>
      </c>
      <c r="T288" s="44" t="s">
        <v>1240</v>
      </c>
      <c r="U288" s="44"/>
    </row>
    <row r="289" spans="1:21" ht="45" customHeight="1" x14ac:dyDescent="0.25">
      <c r="A289" s="24">
        <v>288</v>
      </c>
      <c r="B289" s="24" t="s">
        <v>302</v>
      </c>
      <c r="C289" s="24" t="s">
        <v>302</v>
      </c>
      <c r="D289" s="42" t="s">
        <v>5</v>
      </c>
      <c r="E289" s="25" t="s">
        <v>632</v>
      </c>
      <c r="F289" s="25" t="s">
        <v>1241</v>
      </c>
      <c r="G289" s="24" t="s">
        <v>573</v>
      </c>
      <c r="H289" s="25" t="s">
        <v>564</v>
      </c>
      <c r="I289" s="25" t="s">
        <v>1016</v>
      </c>
      <c r="J289" s="25" t="s">
        <v>565</v>
      </c>
      <c r="K289" s="25" t="s">
        <v>566</v>
      </c>
      <c r="L289" s="25" t="s">
        <v>1046</v>
      </c>
      <c r="M289" s="25" t="s">
        <v>1224</v>
      </c>
      <c r="N289" s="25" t="s">
        <v>634</v>
      </c>
      <c r="O289" s="25"/>
      <c r="P289" s="25" t="s">
        <v>569</v>
      </c>
      <c r="Q289" s="25"/>
      <c r="R289" s="25" t="s">
        <v>570</v>
      </c>
      <c r="S289" s="25" t="s">
        <v>559</v>
      </c>
      <c r="T289" s="25" t="s">
        <v>1242</v>
      </c>
      <c r="U289" s="25" t="s">
        <v>1050</v>
      </c>
    </row>
    <row r="290" spans="1:21" ht="45" customHeight="1" x14ac:dyDescent="0.25">
      <c r="A290" s="43">
        <v>289</v>
      </c>
      <c r="B290" s="43" t="s">
        <v>303</v>
      </c>
      <c r="C290" s="43" t="s">
        <v>303</v>
      </c>
      <c r="D290" s="42" t="s">
        <v>5</v>
      </c>
      <c r="E290" s="44" t="s">
        <v>550</v>
      </c>
      <c r="F290" s="44" t="s">
        <v>1243</v>
      </c>
      <c r="G290" s="43" t="s">
        <v>573</v>
      </c>
      <c r="H290" s="44" t="s">
        <v>553</v>
      </c>
      <c r="I290" s="44" t="s">
        <v>1016</v>
      </c>
      <c r="J290" s="44" t="s">
        <v>555</v>
      </c>
      <c r="K290" s="44" t="s">
        <v>556</v>
      </c>
      <c r="L290" s="44" t="s">
        <v>567</v>
      </c>
      <c r="M290" s="44"/>
      <c r="N290" s="44"/>
      <c r="O290" s="44"/>
      <c r="P290" s="44" t="s">
        <v>569</v>
      </c>
      <c r="Q290" s="44" t="s">
        <v>635</v>
      </c>
      <c r="R290" s="44" t="s">
        <v>558</v>
      </c>
      <c r="S290" s="44" t="s">
        <v>559</v>
      </c>
      <c r="T290" s="44" t="s">
        <v>1244</v>
      </c>
      <c r="U290" s="44"/>
    </row>
    <row r="291" spans="1:21" ht="45" customHeight="1" x14ac:dyDescent="0.25">
      <c r="A291" s="24">
        <v>290</v>
      </c>
      <c r="B291" s="24" t="s">
        <v>304</v>
      </c>
      <c r="C291" s="24" t="s">
        <v>304</v>
      </c>
      <c r="D291" s="42" t="s">
        <v>5</v>
      </c>
      <c r="E291" s="25" t="s">
        <v>1245</v>
      </c>
      <c r="F291" s="25" t="s">
        <v>1246</v>
      </c>
      <c r="G291" s="24" t="s">
        <v>573</v>
      </c>
      <c r="H291" s="25" t="s">
        <v>610</v>
      </c>
      <c r="I291" s="25" t="s">
        <v>1016</v>
      </c>
      <c r="J291" s="25" t="s">
        <v>578</v>
      </c>
      <c r="K291" s="25" t="s">
        <v>1247</v>
      </c>
      <c r="L291" s="25" t="s">
        <v>557</v>
      </c>
      <c r="M291" s="25"/>
      <c r="N291" s="25" t="s">
        <v>619</v>
      </c>
      <c r="O291" s="25"/>
      <c r="P291" s="25"/>
      <c r="Q291" s="25"/>
      <c r="R291" s="25" t="s">
        <v>558</v>
      </c>
      <c r="S291" s="25" t="s">
        <v>559</v>
      </c>
      <c r="T291" s="25" t="s">
        <v>1248</v>
      </c>
      <c r="U291" s="25"/>
    </row>
    <row r="292" spans="1:21" ht="45" customHeight="1" x14ac:dyDescent="0.25">
      <c r="A292" s="43">
        <v>291</v>
      </c>
      <c r="B292" s="43" t="s">
        <v>305</v>
      </c>
      <c r="C292" s="43" t="s">
        <v>305</v>
      </c>
      <c r="D292" s="42" t="s">
        <v>5</v>
      </c>
      <c r="E292" s="44" t="s">
        <v>550</v>
      </c>
      <c r="F292" s="44" t="s">
        <v>1249</v>
      </c>
      <c r="G292" s="43" t="s">
        <v>573</v>
      </c>
      <c r="H292" s="44" t="s">
        <v>610</v>
      </c>
      <c r="I292" s="44" t="s">
        <v>1016</v>
      </c>
      <c r="J292" s="44" t="s">
        <v>578</v>
      </c>
      <c r="K292" s="44" t="s">
        <v>566</v>
      </c>
      <c r="L292" s="44" t="s">
        <v>567</v>
      </c>
      <c r="M292" s="44"/>
      <c r="N292" s="44"/>
      <c r="O292" s="44"/>
      <c r="P292" s="44" t="s">
        <v>569</v>
      </c>
      <c r="Q292" s="44"/>
      <c r="R292" s="44" t="s">
        <v>558</v>
      </c>
      <c r="S292" s="44" t="s">
        <v>559</v>
      </c>
      <c r="T292" s="44" t="s">
        <v>1250</v>
      </c>
      <c r="U292" s="44"/>
    </row>
    <row r="293" spans="1:21" ht="45" customHeight="1" x14ac:dyDescent="0.25">
      <c r="A293" s="24">
        <v>292</v>
      </c>
      <c r="B293" s="24" t="s">
        <v>306</v>
      </c>
      <c r="C293" s="24" t="s">
        <v>306</v>
      </c>
      <c r="D293" s="42" t="s">
        <v>5</v>
      </c>
      <c r="E293" s="25" t="s">
        <v>1061</v>
      </c>
      <c r="F293" s="25" t="s">
        <v>1251</v>
      </c>
      <c r="G293" s="24" t="s">
        <v>573</v>
      </c>
      <c r="H293" s="25" t="s">
        <v>564</v>
      </c>
      <c r="I293" s="25" t="s">
        <v>1016</v>
      </c>
      <c r="J293" s="25" t="s">
        <v>578</v>
      </c>
      <c r="K293" s="25" t="s">
        <v>566</v>
      </c>
      <c r="L293" s="25" t="s">
        <v>567</v>
      </c>
      <c r="M293" s="25"/>
      <c r="N293" s="25"/>
      <c r="O293" s="25"/>
      <c r="P293" s="25" t="s">
        <v>569</v>
      </c>
      <c r="Q293" s="25" t="s">
        <v>635</v>
      </c>
      <c r="R293" s="25" t="s">
        <v>558</v>
      </c>
      <c r="S293" s="25" t="s">
        <v>1048</v>
      </c>
      <c r="T293" s="25" t="s">
        <v>1252</v>
      </c>
      <c r="U293" s="25"/>
    </row>
    <row r="294" spans="1:21" ht="45" customHeight="1" x14ac:dyDescent="0.25">
      <c r="A294" s="43">
        <v>293</v>
      </c>
      <c r="B294" s="43" t="s">
        <v>307</v>
      </c>
      <c r="C294" s="43" t="s">
        <v>307</v>
      </c>
      <c r="D294" s="42" t="s">
        <v>5</v>
      </c>
      <c r="E294" s="44" t="s">
        <v>550</v>
      </c>
      <c r="F294" s="44" t="s">
        <v>1253</v>
      </c>
      <c r="G294" s="43" t="s">
        <v>573</v>
      </c>
      <c r="H294" s="44" t="s">
        <v>610</v>
      </c>
      <c r="I294" s="44" t="s">
        <v>1016</v>
      </c>
      <c r="J294" s="44" t="s">
        <v>578</v>
      </c>
      <c r="K294" s="44" t="s">
        <v>566</v>
      </c>
      <c r="L294" s="44" t="s">
        <v>567</v>
      </c>
      <c r="M294" s="44"/>
      <c r="N294" s="44"/>
      <c r="O294" s="44"/>
      <c r="P294" s="44" t="s">
        <v>569</v>
      </c>
      <c r="Q294" s="44"/>
      <c r="R294" s="44" t="s">
        <v>558</v>
      </c>
      <c r="S294" s="44" t="s">
        <v>559</v>
      </c>
      <c r="T294" s="44" t="s">
        <v>1254</v>
      </c>
      <c r="U294" s="44"/>
    </row>
    <row r="295" spans="1:21" ht="45" customHeight="1" x14ac:dyDescent="0.25">
      <c r="A295" s="24">
        <v>294</v>
      </c>
      <c r="B295" s="24" t="s">
        <v>308</v>
      </c>
      <c r="C295" s="24" t="s">
        <v>308</v>
      </c>
      <c r="D295" s="42" t="s">
        <v>5</v>
      </c>
      <c r="E295" s="25" t="s">
        <v>550</v>
      </c>
      <c r="F295" s="25" t="s">
        <v>1255</v>
      </c>
      <c r="G295" s="24" t="s">
        <v>573</v>
      </c>
      <c r="H295" s="25" t="s">
        <v>610</v>
      </c>
      <c r="I295" s="25" t="s">
        <v>1016</v>
      </c>
      <c r="J295" s="25" t="s">
        <v>578</v>
      </c>
      <c r="K295" s="25" t="s">
        <v>566</v>
      </c>
      <c r="L295" s="25" t="s">
        <v>567</v>
      </c>
      <c r="M295" s="25"/>
      <c r="N295" s="25"/>
      <c r="O295" s="25"/>
      <c r="P295" s="25" t="s">
        <v>569</v>
      </c>
      <c r="Q295" s="25"/>
      <c r="R295" s="25" t="s">
        <v>558</v>
      </c>
      <c r="S295" s="25" t="s">
        <v>559</v>
      </c>
      <c r="T295" s="25" t="s">
        <v>1256</v>
      </c>
      <c r="U295" s="25"/>
    </row>
    <row r="296" spans="1:21" ht="45" customHeight="1" x14ac:dyDescent="0.25">
      <c r="A296" s="43">
        <v>295</v>
      </c>
      <c r="B296" s="43" t="s">
        <v>309</v>
      </c>
      <c r="C296" s="43" t="s">
        <v>309</v>
      </c>
      <c r="D296" s="42" t="s">
        <v>5</v>
      </c>
      <c r="E296" s="44" t="s">
        <v>550</v>
      </c>
      <c r="F296" s="44" t="s">
        <v>1257</v>
      </c>
      <c r="G296" s="43" t="s">
        <v>573</v>
      </c>
      <c r="H296" s="44" t="s">
        <v>564</v>
      </c>
      <c r="I296" s="44" t="s">
        <v>1016</v>
      </c>
      <c r="J296" s="44" t="s">
        <v>565</v>
      </c>
      <c r="K296" s="44" t="s">
        <v>566</v>
      </c>
      <c r="L296" s="44" t="s">
        <v>567</v>
      </c>
      <c r="M296" s="44"/>
      <c r="N296" s="44"/>
      <c r="O296" s="44"/>
      <c r="P296" s="44" t="s">
        <v>569</v>
      </c>
      <c r="Q296" s="44"/>
      <c r="R296" s="44" t="s">
        <v>558</v>
      </c>
      <c r="S296" s="44" t="s">
        <v>559</v>
      </c>
      <c r="T296" s="44" t="s">
        <v>1258</v>
      </c>
      <c r="U296" s="44"/>
    </row>
    <row r="297" spans="1:21" ht="45" customHeight="1" x14ac:dyDescent="0.25">
      <c r="A297" s="24">
        <v>296</v>
      </c>
      <c r="B297" s="24" t="s">
        <v>310</v>
      </c>
      <c r="C297" s="24" t="s">
        <v>310</v>
      </c>
      <c r="D297" s="42" t="s">
        <v>5</v>
      </c>
      <c r="E297" s="25" t="s">
        <v>550</v>
      </c>
      <c r="F297" s="25" t="s">
        <v>1259</v>
      </c>
      <c r="G297" s="24" t="s">
        <v>573</v>
      </c>
      <c r="H297" s="25" t="s">
        <v>564</v>
      </c>
      <c r="I297" s="25" t="s">
        <v>1016</v>
      </c>
      <c r="J297" s="25" t="s">
        <v>565</v>
      </c>
      <c r="K297" s="25" t="s">
        <v>566</v>
      </c>
      <c r="L297" s="25" t="s">
        <v>567</v>
      </c>
      <c r="M297" s="25"/>
      <c r="N297" s="25"/>
      <c r="O297" s="25"/>
      <c r="P297" s="25" t="s">
        <v>569</v>
      </c>
      <c r="Q297" s="25" t="s">
        <v>635</v>
      </c>
      <c r="R297" s="25" t="s">
        <v>558</v>
      </c>
      <c r="S297" s="25" t="s">
        <v>559</v>
      </c>
      <c r="T297" s="25" t="s">
        <v>1260</v>
      </c>
      <c r="U297" s="25"/>
    </row>
    <row r="298" spans="1:21" ht="45" customHeight="1" x14ac:dyDescent="0.25">
      <c r="A298" s="43">
        <v>297</v>
      </c>
      <c r="B298" s="43" t="s">
        <v>311</v>
      </c>
      <c r="C298" s="43" t="s">
        <v>311</v>
      </c>
      <c r="D298" s="42" t="s">
        <v>5</v>
      </c>
      <c r="E298" s="44" t="s">
        <v>550</v>
      </c>
      <c r="F298" s="44" t="s">
        <v>1261</v>
      </c>
      <c r="G298" s="43" t="s">
        <v>573</v>
      </c>
      <c r="H298" s="44" t="s">
        <v>564</v>
      </c>
      <c r="I298" s="44" t="s">
        <v>1016</v>
      </c>
      <c r="J298" s="44" t="s">
        <v>565</v>
      </c>
      <c r="K298" s="44" t="s">
        <v>566</v>
      </c>
      <c r="L298" s="44" t="s">
        <v>567</v>
      </c>
      <c r="M298" s="44"/>
      <c r="N298" s="44"/>
      <c r="O298" s="44"/>
      <c r="P298" s="44" t="s">
        <v>569</v>
      </c>
      <c r="Q298" s="44"/>
      <c r="R298" s="44" t="s">
        <v>558</v>
      </c>
      <c r="S298" s="44" t="s">
        <v>559</v>
      </c>
      <c r="T298" s="44" t="s">
        <v>1262</v>
      </c>
      <c r="U298" s="44"/>
    </row>
    <row r="299" spans="1:21" ht="45" customHeight="1" x14ac:dyDescent="0.25">
      <c r="A299" s="24">
        <v>298</v>
      </c>
      <c r="B299" s="24" t="s">
        <v>312</v>
      </c>
      <c r="C299" s="24" t="s">
        <v>312</v>
      </c>
      <c r="D299" s="42" t="s">
        <v>5</v>
      </c>
      <c r="E299" s="25" t="s">
        <v>1066</v>
      </c>
      <c r="F299" s="25" t="s">
        <v>1263</v>
      </c>
      <c r="G299" s="24" t="s">
        <v>573</v>
      </c>
      <c r="H299" s="25" t="s">
        <v>564</v>
      </c>
      <c r="I299" s="25" t="s">
        <v>1016</v>
      </c>
      <c r="J299" s="25" t="s">
        <v>565</v>
      </c>
      <c r="K299" s="25" t="s">
        <v>566</v>
      </c>
      <c r="L299" s="25" t="s">
        <v>567</v>
      </c>
      <c r="M299" s="25"/>
      <c r="N299" s="25"/>
      <c r="O299" s="25"/>
      <c r="P299" s="25" t="s">
        <v>569</v>
      </c>
      <c r="Q299" s="25"/>
      <c r="R299" s="25" t="s">
        <v>558</v>
      </c>
      <c r="S299" s="25" t="s">
        <v>559</v>
      </c>
      <c r="T299" s="25" t="s">
        <v>1264</v>
      </c>
      <c r="U299" s="25"/>
    </row>
    <row r="300" spans="1:21" ht="45" customHeight="1" x14ac:dyDescent="0.25">
      <c r="A300" s="43">
        <v>299</v>
      </c>
      <c r="B300" s="43" t="s">
        <v>313</v>
      </c>
      <c r="C300" s="43" t="s">
        <v>313</v>
      </c>
      <c r="D300" s="42" t="s">
        <v>5</v>
      </c>
      <c r="E300" s="44" t="s">
        <v>550</v>
      </c>
      <c r="F300" s="44" t="s">
        <v>1265</v>
      </c>
      <c r="G300" s="43" t="s">
        <v>573</v>
      </c>
      <c r="H300" s="44" t="s">
        <v>564</v>
      </c>
      <c r="I300" s="44" t="s">
        <v>1016</v>
      </c>
      <c r="J300" s="44" t="s">
        <v>565</v>
      </c>
      <c r="K300" s="44" t="s">
        <v>566</v>
      </c>
      <c r="L300" s="44" t="s">
        <v>567</v>
      </c>
      <c r="M300" s="44"/>
      <c r="N300" s="44"/>
      <c r="O300" s="44"/>
      <c r="P300" s="44" t="s">
        <v>569</v>
      </c>
      <c r="Q300" s="44" t="s">
        <v>635</v>
      </c>
      <c r="R300" s="44" t="s">
        <v>558</v>
      </c>
      <c r="S300" s="44" t="s">
        <v>559</v>
      </c>
      <c r="T300" s="44" t="s">
        <v>1266</v>
      </c>
      <c r="U300" s="44"/>
    </row>
    <row r="301" spans="1:21" ht="45" customHeight="1" x14ac:dyDescent="0.25">
      <c r="A301" s="24">
        <v>300</v>
      </c>
      <c r="B301" s="24" t="s">
        <v>314</v>
      </c>
      <c r="C301" s="24" t="s">
        <v>314</v>
      </c>
      <c r="D301" s="42" t="s">
        <v>5</v>
      </c>
      <c r="E301" s="25" t="s">
        <v>1066</v>
      </c>
      <c r="F301" s="25" t="s">
        <v>1267</v>
      </c>
      <c r="G301" s="24" t="s">
        <v>573</v>
      </c>
      <c r="H301" s="25" t="s">
        <v>564</v>
      </c>
      <c r="I301" s="25" t="s">
        <v>1016</v>
      </c>
      <c r="J301" s="25" t="s">
        <v>565</v>
      </c>
      <c r="K301" s="25" t="s">
        <v>566</v>
      </c>
      <c r="L301" s="25" t="s">
        <v>567</v>
      </c>
      <c r="M301" s="25"/>
      <c r="N301" s="25"/>
      <c r="O301" s="25"/>
      <c r="P301" s="25" t="s">
        <v>569</v>
      </c>
      <c r="Q301" s="25"/>
      <c r="R301" s="25" t="s">
        <v>558</v>
      </c>
      <c r="S301" s="25" t="s">
        <v>559</v>
      </c>
      <c r="T301" s="25" t="s">
        <v>1268</v>
      </c>
      <c r="U301" s="25"/>
    </row>
    <row r="302" spans="1:21" ht="45" customHeight="1" x14ac:dyDescent="0.25">
      <c r="A302" s="43">
        <v>301</v>
      </c>
      <c r="B302" s="43" t="s">
        <v>315</v>
      </c>
      <c r="C302" s="43" t="s">
        <v>315</v>
      </c>
      <c r="D302" s="42" t="s">
        <v>5</v>
      </c>
      <c r="E302" s="44" t="s">
        <v>1066</v>
      </c>
      <c r="F302" s="44" t="s">
        <v>1269</v>
      </c>
      <c r="G302" s="43" t="s">
        <v>573</v>
      </c>
      <c r="H302" s="44" t="s">
        <v>610</v>
      </c>
      <c r="I302" s="44" t="s">
        <v>1016</v>
      </c>
      <c r="J302" s="44" t="s">
        <v>578</v>
      </c>
      <c r="K302" s="44" t="s">
        <v>1068</v>
      </c>
      <c r="L302" s="44" t="s">
        <v>567</v>
      </c>
      <c r="M302" s="44"/>
      <c r="N302" s="44"/>
      <c r="O302" s="44"/>
      <c r="P302" s="44" t="s">
        <v>569</v>
      </c>
      <c r="Q302" s="44"/>
      <c r="R302" s="44" t="s">
        <v>558</v>
      </c>
      <c r="S302" s="44" t="s">
        <v>559</v>
      </c>
      <c r="T302" s="44" t="s">
        <v>1270</v>
      </c>
      <c r="U302" s="44"/>
    </row>
    <row r="303" spans="1:21" ht="45" customHeight="1" x14ac:dyDescent="0.25">
      <c r="A303" s="24">
        <v>302</v>
      </c>
      <c r="B303" s="24" t="s">
        <v>316</v>
      </c>
      <c r="C303" s="24" t="s">
        <v>316</v>
      </c>
      <c r="D303" s="42" t="s">
        <v>5</v>
      </c>
      <c r="E303" s="25" t="s">
        <v>550</v>
      </c>
      <c r="F303" s="25" t="s">
        <v>1271</v>
      </c>
      <c r="G303" s="24" t="s">
        <v>573</v>
      </c>
      <c r="H303" s="25" t="s">
        <v>564</v>
      </c>
      <c r="I303" s="25" t="s">
        <v>1016</v>
      </c>
      <c r="J303" s="25" t="s">
        <v>565</v>
      </c>
      <c r="K303" s="25" t="s">
        <v>566</v>
      </c>
      <c r="L303" s="25" t="s">
        <v>567</v>
      </c>
      <c r="M303" s="25"/>
      <c r="N303" s="25"/>
      <c r="O303" s="25"/>
      <c r="P303" s="25" t="s">
        <v>569</v>
      </c>
      <c r="Q303" s="25"/>
      <c r="R303" s="25" t="s">
        <v>558</v>
      </c>
      <c r="S303" s="25" t="s">
        <v>559</v>
      </c>
      <c r="T303" s="25" t="s">
        <v>1272</v>
      </c>
      <c r="U303" s="25"/>
    </row>
    <row r="304" spans="1:21" ht="45" customHeight="1" x14ac:dyDescent="0.25">
      <c r="A304" s="43">
        <v>303</v>
      </c>
      <c r="B304" s="43" t="s">
        <v>317</v>
      </c>
      <c r="C304" s="43" t="s">
        <v>317</v>
      </c>
      <c r="D304" s="42" t="s">
        <v>5</v>
      </c>
      <c r="E304" s="44" t="s">
        <v>550</v>
      </c>
      <c r="F304" s="44" t="s">
        <v>1273</v>
      </c>
      <c r="G304" s="43" t="s">
        <v>573</v>
      </c>
      <c r="H304" s="44" t="s">
        <v>564</v>
      </c>
      <c r="I304" s="44" t="s">
        <v>1016</v>
      </c>
      <c r="J304" s="44" t="s">
        <v>565</v>
      </c>
      <c r="K304" s="44" t="s">
        <v>566</v>
      </c>
      <c r="L304" s="44" t="s">
        <v>567</v>
      </c>
      <c r="M304" s="44"/>
      <c r="N304" s="44"/>
      <c r="O304" s="44"/>
      <c r="P304" s="44" t="s">
        <v>569</v>
      </c>
      <c r="Q304" s="44"/>
      <c r="R304" s="44" t="s">
        <v>558</v>
      </c>
      <c r="S304" s="44" t="s">
        <v>559</v>
      </c>
      <c r="T304" s="44" t="s">
        <v>1274</v>
      </c>
      <c r="U304" s="44"/>
    </row>
    <row r="305" spans="1:21" ht="45" customHeight="1" x14ac:dyDescent="0.25">
      <c r="A305" s="24">
        <v>304</v>
      </c>
      <c r="B305" s="24" t="s">
        <v>318</v>
      </c>
      <c r="C305" s="24" t="s">
        <v>318</v>
      </c>
      <c r="D305" s="42" t="s">
        <v>5</v>
      </c>
      <c r="E305" s="25" t="s">
        <v>550</v>
      </c>
      <c r="F305" s="25" t="s">
        <v>1275</v>
      </c>
      <c r="G305" s="24" t="s">
        <v>573</v>
      </c>
      <c r="H305" s="25" t="s">
        <v>564</v>
      </c>
      <c r="I305" s="25" t="s">
        <v>1016</v>
      </c>
      <c r="J305" s="25" t="s">
        <v>565</v>
      </c>
      <c r="K305" s="25" t="s">
        <v>566</v>
      </c>
      <c r="L305" s="25" t="s">
        <v>567</v>
      </c>
      <c r="M305" s="25"/>
      <c r="N305" s="25"/>
      <c r="O305" s="25"/>
      <c r="P305" s="25" t="s">
        <v>569</v>
      </c>
      <c r="Q305" s="25"/>
      <c r="R305" s="25" t="s">
        <v>558</v>
      </c>
      <c r="S305" s="25" t="s">
        <v>559</v>
      </c>
      <c r="T305" s="25" t="s">
        <v>1276</v>
      </c>
      <c r="U305" s="25"/>
    </row>
    <row r="306" spans="1:21" ht="45" customHeight="1" x14ac:dyDescent="0.25">
      <c r="A306" s="43">
        <v>305</v>
      </c>
      <c r="B306" s="43" t="s">
        <v>319</v>
      </c>
      <c r="C306" s="43" t="s">
        <v>319</v>
      </c>
      <c r="D306" s="42" t="s">
        <v>5</v>
      </c>
      <c r="E306" s="44" t="s">
        <v>550</v>
      </c>
      <c r="F306" s="44" t="s">
        <v>1277</v>
      </c>
      <c r="G306" s="43" t="s">
        <v>573</v>
      </c>
      <c r="H306" s="44" t="s">
        <v>610</v>
      </c>
      <c r="I306" s="44" t="s">
        <v>1016</v>
      </c>
      <c r="J306" s="44" t="s">
        <v>578</v>
      </c>
      <c r="K306" s="44" t="s">
        <v>566</v>
      </c>
      <c r="L306" s="44" t="s">
        <v>567</v>
      </c>
      <c r="M306" s="44"/>
      <c r="N306" s="44"/>
      <c r="O306" s="44"/>
      <c r="P306" s="44" t="s">
        <v>569</v>
      </c>
      <c r="Q306" s="44"/>
      <c r="R306" s="44" t="s">
        <v>558</v>
      </c>
      <c r="S306" s="44" t="s">
        <v>559</v>
      </c>
      <c r="T306" s="44" t="s">
        <v>1278</v>
      </c>
      <c r="U306" s="44"/>
    </row>
    <row r="307" spans="1:21" ht="45" customHeight="1" x14ac:dyDescent="0.25">
      <c r="A307" s="24">
        <v>306</v>
      </c>
      <c r="B307" s="24" t="s">
        <v>320</v>
      </c>
      <c r="C307" s="24" t="s">
        <v>320</v>
      </c>
      <c r="D307" s="42" t="s">
        <v>5</v>
      </c>
      <c r="E307" s="25" t="s">
        <v>550</v>
      </c>
      <c r="F307" s="25" t="s">
        <v>1279</v>
      </c>
      <c r="G307" s="24" t="s">
        <v>573</v>
      </c>
      <c r="H307" s="25" t="s">
        <v>553</v>
      </c>
      <c r="I307" s="25" t="s">
        <v>1016</v>
      </c>
      <c r="J307" s="25" t="s">
        <v>555</v>
      </c>
      <c r="K307" s="25" t="s">
        <v>566</v>
      </c>
      <c r="L307" s="25" t="s">
        <v>567</v>
      </c>
      <c r="M307" s="25"/>
      <c r="N307" s="25" t="s">
        <v>701</v>
      </c>
      <c r="O307" s="25"/>
      <c r="P307" s="25" t="s">
        <v>569</v>
      </c>
      <c r="Q307" s="25"/>
      <c r="R307" s="25" t="s">
        <v>558</v>
      </c>
      <c r="S307" s="25" t="s">
        <v>559</v>
      </c>
      <c r="T307" s="25" t="s">
        <v>1280</v>
      </c>
      <c r="U307" s="25"/>
    </row>
    <row r="308" spans="1:21" ht="45" customHeight="1" x14ac:dyDescent="0.25">
      <c r="A308" s="43">
        <v>307</v>
      </c>
      <c r="B308" s="43" t="s">
        <v>321</v>
      </c>
      <c r="C308" s="43" t="s">
        <v>321</v>
      </c>
      <c r="D308" s="42" t="s">
        <v>5</v>
      </c>
      <c r="E308" s="44" t="s">
        <v>550</v>
      </c>
      <c r="F308" s="44" t="s">
        <v>1281</v>
      </c>
      <c r="G308" s="43" t="s">
        <v>573</v>
      </c>
      <c r="H308" s="44" t="s">
        <v>553</v>
      </c>
      <c r="I308" s="44" t="s">
        <v>1016</v>
      </c>
      <c r="J308" s="44" t="s">
        <v>555</v>
      </c>
      <c r="K308" s="44" t="s">
        <v>566</v>
      </c>
      <c r="L308" s="44" t="s">
        <v>567</v>
      </c>
      <c r="M308" s="44"/>
      <c r="N308" s="44" t="s">
        <v>701</v>
      </c>
      <c r="O308" s="44"/>
      <c r="P308" s="44" t="s">
        <v>569</v>
      </c>
      <c r="Q308" s="44"/>
      <c r="R308" s="44" t="s">
        <v>558</v>
      </c>
      <c r="S308" s="44" t="s">
        <v>559</v>
      </c>
      <c r="T308" s="44" t="s">
        <v>1282</v>
      </c>
      <c r="U308" s="44"/>
    </row>
    <row r="309" spans="1:21" ht="45" customHeight="1" x14ac:dyDescent="0.25">
      <c r="A309" s="24">
        <v>308</v>
      </c>
      <c r="B309" s="24" t="s">
        <v>322</v>
      </c>
      <c r="C309" s="24" t="s">
        <v>322</v>
      </c>
      <c r="D309" s="42" t="s">
        <v>5</v>
      </c>
      <c r="E309" s="25" t="s">
        <v>550</v>
      </c>
      <c r="F309" s="25" t="s">
        <v>1283</v>
      </c>
      <c r="G309" s="24" t="s">
        <v>573</v>
      </c>
      <c r="H309" s="25" t="s">
        <v>610</v>
      </c>
      <c r="I309" s="25" t="s">
        <v>1016</v>
      </c>
      <c r="J309" s="25" t="s">
        <v>578</v>
      </c>
      <c r="K309" s="25" t="s">
        <v>566</v>
      </c>
      <c r="L309" s="25" t="s">
        <v>567</v>
      </c>
      <c r="M309" s="25"/>
      <c r="N309" s="25" t="s">
        <v>701</v>
      </c>
      <c r="O309" s="25"/>
      <c r="P309" s="25" t="s">
        <v>569</v>
      </c>
      <c r="Q309" s="25"/>
      <c r="R309" s="25" t="s">
        <v>558</v>
      </c>
      <c r="S309" s="25" t="s">
        <v>559</v>
      </c>
      <c r="T309" s="25" t="s">
        <v>1284</v>
      </c>
      <c r="U309" s="25"/>
    </row>
    <row r="310" spans="1:21" ht="45" customHeight="1" x14ac:dyDescent="0.25">
      <c r="A310" s="43">
        <v>309</v>
      </c>
      <c r="B310" s="43" t="s">
        <v>323</v>
      </c>
      <c r="C310" s="43" t="s">
        <v>323</v>
      </c>
      <c r="D310" s="42" t="s">
        <v>5</v>
      </c>
      <c r="E310" s="44" t="s">
        <v>1061</v>
      </c>
      <c r="F310" s="44" t="s">
        <v>1285</v>
      </c>
      <c r="G310" s="43" t="s">
        <v>573</v>
      </c>
      <c r="H310" s="44" t="s">
        <v>610</v>
      </c>
      <c r="I310" s="44" t="s">
        <v>1016</v>
      </c>
      <c r="J310" s="44" t="s">
        <v>578</v>
      </c>
      <c r="K310" s="44" t="s">
        <v>566</v>
      </c>
      <c r="L310" s="44" t="s">
        <v>567</v>
      </c>
      <c r="M310" s="44"/>
      <c r="N310" s="44"/>
      <c r="O310" s="44"/>
      <c r="P310" s="44" t="s">
        <v>569</v>
      </c>
      <c r="Q310" s="44" t="s">
        <v>635</v>
      </c>
      <c r="R310" s="44" t="s">
        <v>558</v>
      </c>
      <c r="S310" s="44" t="s">
        <v>559</v>
      </c>
      <c r="T310" s="44" t="s">
        <v>1286</v>
      </c>
      <c r="U310" s="44"/>
    </row>
    <row r="311" spans="1:21" ht="45" customHeight="1" x14ac:dyDescent="0.25">
      <c r="A311" s="24">
        <v>310</v>
      </c>
      <c r="B311" s="24" t="s">
        <v>324</v>
      </c>
      <c r="C311" s="24" t="s">
        <v>324</v>
      </c>
      <c r="D311" s="42" t="s">
        <v>5</v>
      </c>
      <c r="E311" s="25" t="s">
        <v>550</v>
      </c>
      <c r="F311" s="25" t="s">
        <v>1287</v>
      </c>
      <c r="G311" s="24" t="s">
        <v>573</v>
      </c>
      <c r="H311" s="25" t="s">
        <v>564</v>
      </c>
      <c r="I311" s="25" t="s">
        <v>1016</v>
      </c>
      <c r="J311" s="25" t="s">
        <v>565</v>
      </c>
      <c r="K311" s="25" t="s">
        <v>566</v>
      </c>
      <c r="L311" s="25" t="s">
        <v>567</v>
      </c>
      <c r="M311" s="25"/>
      <c r="N311" s="25"/>
      <c r="O311" s="25"/>
      <c r="P311" s="25" t="s">
        <v>569</v>
      </c>
      <c r="Q311" s="25"/>
      <c r="R311" s="25" t="s">
        <v>558</v>
      </c>
      <c r="S311" s="25" t="s">
        <v>559</v>
      </c>
      <c r="T311" s="25" t="s">
        <v>1288</v>
      </c>
      <c r="U311" s="25"/>
    </row>
    <row r="312" spans="1:21" ht="45" customHeight="1" x14ac:dyDescent="0.25">
      <c r="A312" s="43">
        <v>311</v>
      </c>
      <c r="B312" s="43" t="s">
        <v>325</v>
      </c>
      <c r="C312" s="43" t="s">
        <v>325</v>
      </c>
      <c r="D312" s="42" t="s">
        <v>5</v>
      </c>
      <c r="E312" s="44" t="s">
        <v>550</v>
      </c>
      <c r="F312" s="44" t="s">
        <v>1289</v>
      </c>
      <c r="G312" s="43" t="s">
        <v>573</v>
      </c>
      <c r="H312" s="44" t="s">
        <v>564</v>
      </c>
      <c r="I312" s="44" t="s">
        <v>1016</v>
      </c>
      <c r="J312" s="44" t="s">
        <v>578</v>
      </c>
      <c r="K312" s="44" t="s">
        <v>556</v>
      </c>
      <c r="L312" s="44" t="s">
        <v>696</v>
      </c>
      <c r="M312" s="44"/>
      <c r="N312" s="44"/>
      <c r="O312" s="44"/>
      <c r="P312" s="44"/>
      <c r="Q312" s="44" t="s">
        <v>635</v>
      </c>
      <c r="R312" s="44" t="s">
        <v>558</v>
      </c>
      <c r="S312" s="44" t="s">
        <v>1048</v>
      </c>
      <c r="T312" s="44" t="s">
        <v>1290</v>
      </c>
      <c r="U312" s="44"/>
    </row>
    <row r="313" spans="1:21" ht="45" customHeight="1" x14ac:dyDescent="0.25">
      <c r="A313" s="24">
        <v>312</v>
      </c>
      <c r="B313" s="24" t="s">
        <v>326</v>
      </c>
      <c r="C313" s="24" t="s">
        <v>326</v>
      </c>
      <c r="D313" s="42" t="s">
        <v>5</v>
      </c>
      <c r="E313" s="25" t="s">
        <v>550</v>
      </c>
      <c r="F313" s="25" t="s">
        <v>1291</v>
      </c>
      <c r="G313" s="24" t="s">
        <v>573</v>
      </c>
      <c r="H313" s="25" t="s">
        <v>553</v>
      </c>
      <c r="I313" s="25" t="s">
        <v>1016</v>
      </c>
      <c r="J313" s="25" t="s">
        <v>555</v>
      </c>
      <c r="K313" s="25" t="s">
        <v>566</v>
      </c>
      <c r="L313" s="25" t="s">
        <v>567</v>
      </c>
      <c r="M313" s="25"/>
      <c r="N313" s="25"/>
      <c r="O313" s="25"/>
      <c r="P313" s="25" t="s">
        <v>569</v>
      </c>
      <c r="Q313" s="25" t="s">
        <v>635</v>
      </c>
      <c r="R313" s="25" t="s">
        <v>558</v>
      </c>
      <c r="S313" s="25" t="s">
        <v>559</v>
      </c>
      <c r="T313" s="25" t="s">
        <v>1292</v>
      </c>
      <c r="U313" s="25"/>
    </row>
    <row r="314" spans="1:21" ht="45" customHeight="1" x14ac:dyDescent="0.25">
      <c r="A314" s="43">
        <v>313</v>
      </c>
      <c r="B314" s="43" t="s">
        <v>327</v>
      </c>
      <c r="C314" s="43" t="s">
        <v>327</v>
      </c>
      <c r="D314" s="42" t="s">
        <v>5</v>
      </c>
      <c r="E314" s="44" t="s">
        <v>1029</v>
      </c>
      <c r="F314" s="44" t="s">
        <v>1293</v>
      </c>
      <c r="G314" s="43" t="s">
        <v>573</v>
      </c>
      <c r="H314" s="44" t="s">
        <v>610</v>
      </c>
      <c r="I314" s="44" t="s">
        <v>1016</v>
      </c>
      <c r="J314" s="44" t="s">
        <v>578</v>
      </c>
      <c r="K314" s="44" t="s">
        <v>566</v>
      </c>
      <c r="L314" s="44" t="s">
        <v>567</v>
      </c>
      <c r="M314" s="44"/>
      <c r="N314" s="44"/>
      <c r="O314" s="44"/>
      <c r="P314" s="44" t="s">
        <v>569</v>
      </c>
      <c r="Q314" s="44" t="s">
        <v>635</v>
      </c>
      <c r="R314" s="44" t="s">
        <v>570</v>
      </c>
      <c r="S314" s="44" t="s">
        <v>559</v>
      </c>
      <c r="T314" s="44" t="s">
        <v>1294</v>
      </c>
      <c r="U314" s="44"/>
    </row>
    <row r="315" spans="1:21" ht="45" customHeight="1" x14ac:dyDescent="0.25">
      <c r="A315" s="24">
        <v>314</v>
      </c>
      <c r="B315" s="24" t="s">
        <v>328</v>
      </c>
      <c r="C315" s="24" t="s">
        <v>328</v>
      </c>
      <c r="D315" s="42" t="s">
        <v>5</v>
      </c>
      <c r="E315" s="25" t="s">
        <v>977</v>
      </c>
      <c r="F315" s="25" t="s">
        <v>1295</v>
      </c>
      <c r="G315" s="24" t="s">
        <v>573</v>
      </c>
      <c r="H315" s="25" t="s">
        <v>610</v>
      </c>
      <c r="I315" s="25" t="s">
        <v>1016</v>
      </c>
      <c r="J315" s="25" t="s">
        <v>578</v>
      </c>
      <c r="K315" s="25" t="s">
        <v>566</v>
      </c>
      <c r="L315" s="25" t="s">
        <v>1046</v>
      </c>
      <c r="M315" s="25" t="s">
        <v>1296</v>
      </c>
      <c r="N315" s="25"/>
      <c r="O315" s="25"/>
      <c r="P315" s="25" t="s">
        <v>569</v>
      </c>
      <c r="Q315" s="25" t="s">
        <v>635</v>
      </c>
      <c r="R315" s="25" t="s">
        <v>558</v>
      </c>
      <c r="S315" s="25" t="s">
        <v>1048</v>
      </c>
      <c r="T315" s="25" t="s">
        <v>1297</v>
      </c>
      <c r="U315" s="25" t="s">
        <v>1050</v>
      </c>
    </row>
    <row r="316" spans="1:21" ht="45" customHeight="1" x14ac:dyDescent="0.25">
      <c r="A316" s="43">
        <v>315</v>
      </c>
      <c r="B316" s="43" t="s">
        <v>329</v>
      </c>
      <c r="C316" s="43" t="s">
        <v>329</v>
      </c>
      <c r="D316" s="42" t="s">
        <v>5</v>
      </c>
      <c r="E316" s="44" t="s">
        <v>977</v>
      </c>
      <c r="F316" s="44" t="s">
        <v>1298</v>
      </c>
      <c r="G316" s="43" t="s">
        <v>573</v>
      </c>
      <c r="H316" s="44" t="s">
        <v>610</v>
      </c>
      <c r="I316" s="44" t="s">
        <v>1016</v>
      </c>
      <c r="J316" s="44" t="s">
        <v>578</v>
      </c>
      <c r="K316" s="44" t="s">
        <v>566</v>
      </c>
      <c r="L316" s="44" t="s">
        <v>567</v>
      </c>
      <c r="M316" s="44"/>
      <c r="N316" s="44"/>
      <c r="O316" s="44"/>
      <c r="P316" s="44" t="s">
        <v>569</v>
      </c>
      <c r="Q316" s="44" t="s">
        <v>635</v>
      </c>
      <c r="R316" s="44" t="s">
        <v>558</v>
      </c>
      <c r="S316" s="44" t="s">
        <v>559</v>
      </c>
      <c r="T316" s="44" t="s">
        <v>1299</v>
      </c>
      <c r="U316" s="44"/>
    </row>
    <row r="317" spans="1:21" ht="45" customHeight="1" x14ac:dyDescent="0.25">
      <c r="A317" s="24">
        <v>316</v>
      </c>
      <c r="B317" s="24" t="s">
        <v>330</v>
      </c>
      <c r="C317" s="24" t="s">
        <v>330</v>
      </c>
      <c r="D317" s="42" t="s">
        <v>5</v>
      </c>
      <c r="E317" s="25" t="s">
        <v>977</v>
      </c>
      <c r="F317" s="25" t="s">
        <v>1300</v>
      </c>
      <c r="G317" s="24" t="s">
        <v>573</v>
      </c>
      <c r="H317" s="25" t="s">
        <v>610</v>
      </c>
      <c r="I317" s="25" t="s">
        <v>1016</v>
      </c>
      <c r="J317" s="25" t="s">
        <v>578</v>
      </c>
      <c r="K317" s="25" t="s">
        <v>566</v>
      </c>
      <c r="L317" s="25" t="s">
        <v>567</v>
      </c>
      <c r="M317" s="25"/>
      <c r="N317" s="25"/>
      <c r="O317" s="25"/>
      <c r="P317" s="25" t="s">
        <v>569</v>
      </c>
      <c r="Q317" s="25" t="s">
        <v>635</v>
      </c>
      <c r="R317" s="25" t="s">
        <v>558</v>
      </c>
      <c r="S317" s="25" t="s">
        <v>559</v>
      </c>
      <c r="T317" s="25" t="s">
        <v>1301</v>
      </c>
      <c r="U317" s="25"/>
    </row>
    <row r="318" spans="1:21" ht="45" customHeight="1" x14ac:dyDescent="0.25">
      <c r="A318" s="43">
        <v>317</v>
      </c>
      <c r="B318" s="43" t="s">
        <v>331</v>
      </c>
      <c r="C318" s="43" t="s">
        <v>331</v>
      </c>
      <c r="D318" s="42" t="s">
        <v>5</v>
      </c>
      <c r="E318" s="44" t="s">
        <v>977</v>
      </c>
      <c r="F318" s="44" t="s">
        <v>1302</v>
      </c>
      <c r="G318" s="43" t="s">
        <v>573</v>
      </c>
      <c r="H318" s="44" t="s">
        <v>564</v>
      </c>
      <c r="I318" s="44" t="s">
        <v>1016</v>
      </c>
      <c r="J318" s="44" t="s">
        <v>565</v>
      </c>
      <c r="K318" s="44" t="s">
        <v>566</v>
      </c>
      <c r="L318" s="44" t="s">
        <v>567</v>
      </c>
      <c r="M318" s="44"/>
      <c r="N318" s="44"/>
      <c r="O318" s="44"/>
      <c r="P318" s="44" t="s">
        <v>569</v>
      </c>
      <c r="Q318" s="44" t="s">
        <v>635</v>
      </c>
      <c r="R318" s="44" t="s">
        <v>558</v>
      </c>
      <c r="S318" s="44" t="s">
        <v>559</v>
      </c>
      <c r="T318" s="44" t="s">
        <v>1303</v>
      </c>
      <c r="U318" s="44"/>
    </row>
    <row r="319" spans="1:21" ht="45" customHeight="1" x14ac:dyDescent="0.25">
      <c r="A319" s="24">
        <v>318</v>
      </c>
      <c r="B319" s="24" t="s">
        <v>332</v>
      </c>
      <c r="C319" s="24" t="s">
        <v>332</v>
      </c>
      <c r="D319" s="42" t="s">
        <v>5</v>
      </c>
      <c r="E319" s="25" t="s">
        <v>977</v>
      </c>
      <c r="F319" s="25" t="s">
        <v>1304</v>
      </c>
      <c r="G319" s="24" t="s">
        <v>573</v>
      </c>
      <c r="H319" s="25" t="s">
        <v>564</v>
      </c>
      <c r="I319" s="25" t="s">
        <v>1016</v>
      </c>
      <c r="J319" s="25" t="s">
        <v>565</v>
      </c>
      <c r="K319" s="25" t="s">
        <v>566</v>
      </c>
      <c r="L319" s="25" t="s">
        <v>567</v>
      </c>
      <c r="M319" s="25"/>
      <c r="N319" s="25"/>
      <c r="O319" s="25"/>
      <c r="P319" s="25" t="s">
        <v>569</v>
      </c>
      <c r="Q319" s="25" t="s">
        <v>635</v>
      </c>
      <c r="R319" s="25" t="s">
        <v>558</v>
      </c>
      <c r="S319" s="25" t="s">
        <v>559</v>
      </c>
      <c r="T319" s="25" t="s">
        <v>1305</v>
      </c>
      <c r="U319" s="25"/>
    </row>
    <row r="320" spans="1:21" ht="45" customHeight="1" x14ac:dyDescent="0.25">
      <c r="A320" s="43">
        <v>319</v>
      </c>
      <c r="B320" s="43" t="s">
        <v>333</v>
      </c>
      <c r="C320" s="43" t="s">
        <v>333</v>
      </c>
      <c r="D320" s="42" t="s">
        <v>5</v>
      </c>
      <c r="E320" s="44" t="s">
        <v>1306</v>
      </c>
      <c r="F320" s="44" t="s">
        <v>1307</v>
      </c>
      <c r="G320" s="43" t="s">
        <v>573</v>
      </c>
      <c r="H320" s="44" t="s">
        <v>564</v>
      </c>
      <c r="I320" s="44" t="s">
        <v>1016</v>
      </c>
      <c r="J320" s="44" t="s">
        <v>565</v>
      </c>
      <c r="K320" s="44" t="s">
        <v>566</v>
      </c>
      <c r="L320" s="44" t="s">
        <v>567</v>
      </c>
      <c r="M320" s="44"/>
      <c r="N320" s="44" t="s">
        <v>1308</v>
      </c>
      <c r="O320" s="44"/>
      <c r="P320" s="44" t="s">
        <v>569</v>
      </c>
      <c r="Q320" s="44"/>
      <c r="R320" s="44" t="s">
        <v>558</v>
      </c>
      <c r="S320" s="44" t="s">
        <v>559</v>
      </c>
      <c r="T320" s="44" t="s">
        <v>1309</v>
      </c>
      <c r="U320" s="44"/>
    </row>
    <row r="321" spans="1:21" ht="45" customHeight="1" x14ac:dyDescent="0.25">
      <c r="A321" s="24">
        <v>320</v>
      </c>
      <c r="B321" s="24" t="s">
        <v>334</v>
      </c>
      <c r="C321" s="24" t="s">
        <v>334</v>
      </c>
      <c r="D321" s="42" t="s">
        <v>5</v>
      </c>
      <c r="E321" s="25" t="s">
        <v>550</v>
      </c>
      <c r="F321" s="25" t="s">
        <v>1310</v>
      </c>
      <c r="G321" s="24" t="s">
        <v>573</v>
      </c>
      <c r="H321" s="25" t="s">
        <v>610</v>
      </c>
      <c r="I321" s="25" t="s">
        <v>1016</v>
      </c>
      <c r="J321" s="25" t="s">
        <v>578</v>
      </c>
      <c r="K321" s="25" t="s">
        <v>566</v>
      </c>
      <c r="L321" s="25" t="s">
        <v>567</v>
      </c>
      <c r="M321" s="25"/>
      <c r="N321" s="25"/>
      <c r="O321" s="25"/>
      <c r="P321" s="25" t="s">
        <v>569</v>
      </c>
      <c r="Q321" s="25"/>
      <c r="R321" s="25" t="s">
        <v>558</v>
      </c>
      <c r="S321" s="25" t="s">
        <v>559</v>
      </c>
      <c r="T321" s="25" t="s">
        <v>1311</v>
      </c>
      <c r="U321" s="25"/>
    </row>
    <row r="322" spans="1:21" ht="45" customHeight="1" x14ac:dyDescent="0.25">
      <c r="A322" s="43">
        <v>321</v>
      </c>
      <c r="B322" s="43" t="s">
        <v>335</v>
      </c>
      <c r="C322" s="43" t="s">
        <v>335</v>
      </c>
      <c r="D322" s="42" t="s">
        <v>5</v>
      </c>
      <c r="E322" s="44" t="s">
        <v>550</v>
      </c>
      <c r="F322" s="44" t="s">
        <v>1312</v>
      </c>
      <c r="G322" s="43" t="s">
        <v>573</v>
      </c>
      <c r="H322" s="44" t="s">
        <v>564</v>
      </c>
      <c r="I322" s="44" t="s">
        <v>1016</v>
      </c>
      <c r="J322" s="44" t="s">
        <v>565</v>
      </c>
      <c r="K322" s="44" t="s">
        <v>566</v>
      </c>
      <c r="L322" s="44" t="s">
        <v>567</v>
      </c>
      <c r="M322" s="44"/>
      <c r="N322" s="44"/>
      <c r="O322" s="44"/>
      <c r="P322" s="44" t="s">
        <v>569</v>
      </c>
      <c r="Q322" s="44"/>
      <c r="R322" s="44" t="s">
        <v>558</v>
      </c>
      <c r="S322" s="44" t="s">
        <v>559</v>
      </c>
      <c r="T322" s="44" t="s">
        <v>1313</v>
      </c>
      <c r="U322" s="44"/>
    </row>
    <row r="323" spans="1:21" ht="45" customHeight="1" x14ac:dyDescent="0.25">
      <c r="A323" s="24">
        <v>322</v>
      </c>
      <c r="B323" s="24" t="s">
        <v>336</v>
      </c>
      <c r="C323" s="24" t="s">
        <v>336</v>
      </c>
      <c r="D323" s="42" t="s">
        <v>5</v>
      </c>
      <c r="E323" s="25" t="s">
        <v>1245</v>
      </c>
      <c r="F323" s="25" t="s">
        <v>1314</v>
      </c>
      <c r="G323" s="24" t="s">
        <v>573</v>
      </c>
      <c r="H323" s="25" t="s">
        <v>564</v>
      </c>
      <c r="I323" s="25" t="s">
        <v>1016</v>
      </c>
      <c r="J323" s="25" t="s">
        <v>565</v>
      </c>
      <c r="K323" s="25" t="s">
        <v>566</v>
      </c>
      <c r="L323" s="25" t="s">
        <v>567</v>
      </c>
      <c r="M323" s="25"/>
      <c r="N323" s="25" t="s">
        <v>619</v>
      </c>
      <c r="O323" s="25"/>
      <c r="P323" s="25" t="s">
        <v>569</v>
      </c>
      <c r="Q323" s="25"/>
      <c r="R323" s="25" t="s">
        <v>558</v>
      </c>
      <c r="S323" s="25" t="s">
        <v>559</v>
      </c>
      <c r="T323" s="25" t="s">
        <v>1315</v>
      </c>
      <c r="U323" s="25"/>
    </row>
    <row r="324" spans="1:21" ht="45" customHeight="1" x14ac:dyDescent="0.25">
      <c r="A324" s="43">
        <v>323</v>
      </c>
      <c r="B324" s="43" t="s">
        <v>337</v>
      </c>
      <c r="C324" s="43" t="s">
        <v>337</v>
      </c>
      <c r="D324" s="42" t="s">
        <v>5</v>
      </c>
      <c r="E324" s="44" t="s">
        <v>1316</v>
      </c>
      <c r="F324" s="44" t="s">
        <v>1317</v>
      </c>
      <c r="G324" s="43" t="s">
        <v>573</v>
      </c>
      <c r="H324" s="44" t="s">
        <v>564</v>
      </c>
      <c r="I324" s="44" t="s">
        <v>1016</v>
      </c>
      <c r="J324" s="44" t="s">
        <v>565</v>
      </c>
      <c r="K324" s="44" t="s">
        <v>566</v>
      </c>
      <c r="L324" s="44" t="s">
        <v>567</v>
      </c>
      <c r="M324" s="44"/>
      <c r="N324" s="44" t="s">
        <v>619</v>
      </c>
      <c r="O324" s="44" t="s">
        <v>568</v>
      </c>
      <c r="P324" s="44" t="s">
        <v>569</v>
      </c>
      <c r="Q324" s="44"/>
      <c r="R324" s="44" t="s">
        <v>570</v>
      </c>
      <c r="S324" s="44" t="s">
        <v>559</v>
      </c>
      <c r="T324" s="44" t="s">
        <v>1318</v>
      </c>
      <c r="U324" s="44"/>
    </row>
    <row r="325" spans="1:21" ht="45" customHeight="1" x14ac:dyDescent="0.25">
      <c r="A325" s="24">
        <v>324</v>
      </c>
      <c r="B325" s="24" t="s">
        <v>338</v>
      </c>
      <c r="C325" s="24" t="s">
        <v>338</v>
      </c>
      <c r="D325" s="42" t="s">
        <v>5</v>
      </c>
      <c r="E325" s="25" t="s">
        <v>1245</v>
      </c>
      <c r="F325" s="25" t="s">
        <v>1319</v>
      </c>
      <c r="G325" s="24" t="s">
        <v>573</v>
      </c>
      <c r="H325" s="25" t="s">
        <v>610</v>
      </c>
      <c r="I325" s="25" t="s">
        <v>1016</v>
      </c>
      <c r="J325" s="25" t="s">
        <v>578</v>
      </c>
      <c r="K325" s="25" t="s">
        <v>1247</v>
      </c>
      <c r="L325" s="25" t="s">
        <v>557</v>
      </c>
      <c r="M325" s="25"/>
      <c r="N325" s="25" t="s">
        <v>619</v>
      </c>
      <c r="O325" s="25"/>
      <c r="P325" s="25"/>
      <c r="Q325" s="25"/>
      <c r="R325" s="25" t="s">
        <v>558</v>
      </c>
      <c r="S325" s="25" t="s">
        <v>559</v>
      </c>
      <c r="T325" s="25" t="s">
        <v>1320</v>
      </c>
      <c r="U325" s="25"/>
    </row>
    <row r="326" spans="1:21" ht="45" customHeight="1" x14ac:dyDescent="0.25">
      <c r="A326" s="43">
        <v>325</v>
      </c>
      <c r="B326" s="43" t="s">
        <v>339</v>
      </c>
      <c r="C326" s="43" t="s">
        <v>339</v>
      </c>
      <c r="D326" s="42" t="s">
        <v>5</v>
      </c>
      <c r="E326" s="44" t="s">
        <v>1245</v>
      </c>
      <c r="F326" s="44" t="s">
        <v>1321</v>
      </c>
      <c r="G326" s="43" t="s">
        <v>573</v>
      </c>
      <c r="H326" s="44" t="s">
        <v>564</v>
      </c>
      <c r="I326" s="44" t="s">
        <v>1016</v>
      </c>
      <c r="J326" s="44" t="s">
        <v>565</v>
      </c>
      <c r="K326" s="44" t="s">
        <v>566</v>
      </c>
      <c r="L326" s="44" t="s">
        <v>567</v>
      </c>
      <c r="M326" s="44"/>
      <c r="N326" s="44" t="s">
        <v>619</v>
      </c>
      <c r="O326" s="44"/>
      <c r="P326" s="44" t="s">
        <v>569</v>
      </c>
      <c r="Q326" s="44"/>
      <c r="R326" s="44" t="s">
        <v>558</v>
      </c>
      <c r="S326" s="44" t="s">
        <v>559</v>
      </c>
      <c r="T326" s="44" t="s">
        <v>1322</v>
      </c>
      <c r="U326" s="44"/>
    </row>
    <row r="327" spans="1:21" ht="45" customHeight="1" x14ac:dyDescent="0.25">
      <c r="A327" s="24">
        <v>326</v>
      </c>
      <c r="B327" s="24" t="s">
        <v>340</v>
      </c>
      <c r="C327" s="24" t="s">
        <v>340</v>
      </c>
      <c r="D327" s="42" t="s">
        <v>5</v>
      </c>
      <c r="E327" s="25" t="s">
        <v>1061</v>
      </c>
      <c r="F327" s="25" t="s">
        <v>1323</v>
      </c>
      <c r="G327" s="24" t="s">
        <v>573</v>
      </c>
      <c r="H327" s="25" t="s">
        <v>610</v>
      </c>
      <c r="I327" s="25" t="s">
        <v>1016</v>
      </c>
      <c r="J327" s="25" t="s">
        <v>578</v>
      </c>
      <c r="K327" s="25" t="s">
        <v>566</v>
      </c>
      <c r="L327" s="25" t="s">
        <v>567</v>
      </c>
      <c r="M327" s="25"/>
      <c r="N327" s="25" t="s">
        <v>619</v>
      </c>
      <c r="O327" s="25"/>
      <c r="P327" s="25" t="s">
        <v>569</v>
      </c>
      <c r="Q327" s="25"/>
      <c r="R327" s="25" t="s">
        <v>558</v>
      </c>
      <c r="S327" s="25" t="s">
        <v>559</v>
      </c>
      <c r="T327" s="25" t="s">
        <v>1324</v>
      </c>
      <c r="U327" s="25"/>
    </row>
    <row r="328" spans="1:21" ht="45" customHeight="1" x14ac:dyDescent="0.25">
      <c r="A328" s="43">
        <v>327</v>
      </c>
      <c r="B328" s="43" t="s">
        <v>341</v>
      </c>
      <c r="C328" s="43" t="s">
        <v>341</v>
      </c>
      <c r="D328" s="42" t="s">
        <v>5</v>
      </c>
      <c r="E328" s="44" t="s">
        <v>1245</v>
      </c>
      <c r="F328" s="44" t="s">
        <v>1325</v>
      </c>
      <c r="G328" s="43" t="s">
        <v>573</v>
      </c>
      <c r="H328" s="44" t="s">
        <v>610</v>
      </c>
      <c r="I328" s="44" t="s">
        <v>1016</v>
      </c>
      <c r="J328" s="44" t="s">
        <v>578</v>
      </c>
      <c r="K328" s="44" t="s">
        <v>566</v>
      </c>
      <c r="L328" s="44" t="s">
        <v>567</v>
      </c>
      <c r="M328" s="44"/>
      <c r="N328" s="44" t="s">
        <v>619</v>
      </c>
      <c r="O328" s="44"/>
      <c r="P328" s="44" t="s">
        <v>569</v>
      </c>
      <c r="Q328" s="44"/>
      <c r="R328" s="44" t="s">
        <v>570</v>
      </c>
      <c r="S328" s="44" t="s">
        <v>559</v>
      </c>
      <c r="T328" s="44" t="s">
        <v>1326</v>
      </c>
      <c r="U328" s="44"/>
    </row>
    <row r="329" spans="1:21" ht="45" customHeight="1" x14ac:dyDescent="0.25">
      <c r="A329" s="24">
        <v>328</v>
      </c>
      <c r="B329" s="24" t="s">
        <v>342</v>
      </c>
      <c r="C329" s="24" t="s">
        <v>342</v>
      </c>
      <c r="D329" s="42" t="s">
        <v>5</v>
      </c>
      <c r="E329" s="25" t="s">
        <v>1327</v>
      </c>
      <c r="F329" s="25" t="s">
        <v>1328</v>
      </c>
      <c r="G329" s="24" t="s">
        <v>573</v>
      </c>
      <c r="H329" s="25" t="s">
        <v>610</v>
      </c>
      <c r="I329" s="25" t="s">
        <v>1016</v>
      </c>
      <c r="J329" s="25" t="s">
        <v>578</v>
      </c>
      <c r="K329" s="25" t="s">
        <v>566</v>
      </c>
      <c r="L329" s="25" t="s">
        <v>567</v>
      </c>
      <c r="M329" s="25"/>
      <c r="N329" s="25" t="s">
        <v>986</v>
      </c>
      <c r="O329" s="25"/>
      <c r="P329" s="25" t="s">
        <v>569</v>
      </c>
      <c r="Q329" s="25"/>
      <c r="R329" s="25" t="s">
        <v>558</v>
      </c>
      <c r="S329" s="25" t="s">
        <v>559</v>
      </c>
      <c r="T329" s="25" t="s">
        <v>1329</v>
      </c>
      <c r="U329" s="25"/>
    </row>
    <row r="330" spans="1:21" ht="45" customHeight="1" x14ac:dyDescent="0.25">
      <c r="A330" s="43">
        <v>329</v>
      </c>
      <c r="B330" s="43" t="s">
        <v>343</v>
      </c>
      <c r="C330" s="43" t="s">
        <v>343</v>
      </c>
      <c r="D330" s="42" t="s">
        <v>5</v>
      </c>
      <c r="E330" s="44" t="s">
        <v>1327</v>
      </c>
      <c r="F330" s="44" t="s">
        <v>1330</v>
      </c>
      <c r="G330" s="43" t="s">
        <v>573</v>
      </c>
      <c r="H330" s="44" t="s">
        <v>564</v>
      </c>
      <c r="I330" s="44" t="s">
        <v>1016</v>
      </c>
      <c r="J330" s="44" t="s">
        <v>565</v>
      </c>
      <c r="K330" s="44" t="s">
        <v>566</v>
      </c>
      <c r="L330" s="44" t="s">
        <v>567</v>
      </c>
      <c r="M330" s="44"/>
      <c r="N330" s="44" t="s">
        <v>986</v>
      </c>
      <c r="O330" s="44" t="s">
        <v>568</v>
      </c>
      <c r="P330" s="44" t="s">
        <v>569</v>
      </c>
      <c r="Q330" s="44"/>
      <c r="R330" s="44" t="s">
        <v>558</v>
      </c>
      <c r="S330" s="44" t="s">
        <v>559</v>
      </c>
      <c r="T330" s="44" t="s">
        <v>1331</v>
      </c>
      <c r="U330" s="44"/>
    </row>
    <row r="331" spans="1:21" ht="45" customHeight="1" x14ac:dyDescent="0.25">
      <c r="A331" s="24">
        <v>330</v>
      </c>
      <c r="B331" s="24" t="s">
        <v>344</v>
      </c>
      <c r="C331" s="24" t="s">
        <v>344</v>
      </c>
      <c r="D331" s="42" t="s">
        <v>5</v>
      </c>
      <c r="E331" s="25" t="s">
        <v>1066</v>
      </c>
      <c r="F331" s="25" t="s">
        <v>1332</v>
      </c>
      <c r="G331" s="24" t="s">
        <v>573</v>
      </c>
      <c r="H331" s="25" t="s">
        <v>564</v>
      </c>
      <c r="I331" s="25" t="s">
        <v>1016</v>
      </c>
      <c r="J331" s="25" t="s">
        <v>565</v>
      </c>
      <c r="K331" s="25" t="s">
        <v>566</v>
      </c>
      <c r="L331" s="25" t="s">
        <v>567</v>
      </c>
      <c r="M331" s="25"/>
      <c r="N331" s="25"/>
      <c r="O331" s="25"/>
      <c r="P331" s="25" t="s">
        <v>569</v>
      </c>
      <c r="Q331" s="25"/>
      <c r="R331" s="25" t="s">
        <v>558</v>
      </c>
      <c r="S331" s="25" t="s">
        <v>559</v>
      </c>
      <c r="T331" s="25" t="s">
        <v>1333</v>
      </c>
      <c r="U331" s="25"/>
    </row>
    <row r="332" spans="1:21" ht="45" customHeight="1" x14ac:dyDescent="0.25">
      <c r="A332" s="43">
        <v>331</v>
      </c>
      <c r="B332" s="43" t="s">
        <v>345</v>
      </c>
      <c r="C332" s="43" t="s">
        <v>345</v>
      </c>
      <c r="D332" s="42" t="s">
        <v>5</v>
      </c>
      <c r="E332" s="44" t="s">
        <v>1066</v>
      </c>
      <c r="F332" s="44" t="s">
        <v>1334</v>
      </c>
      <c r="G332" s="43" t="s">
        <v>573</v>
      </c>
      <c r="H332" s="44" t="s">
        <v>564</v>
      </c>
      <c r="I332" s="44" t="s">
        <v>1016</v>
      </c>
      <c r="J332" s="44" t="s">
        <v>565</v>
      </c>
      <c r="K332" s="44" t="s">
        <v>566</v>
      </c>
      <c r="L332" s="44" t="s">
        <v>567</v>
      </c>
      <c r="M332" s="44"/>
      <c r="N332" s="44"/>
      <c r="O332" s="44"/>
      <c r="P332" s="44" t="s">
        <v>569</v>
      </c>
      <c r="Q332" s="44"/>
      <c r="R332" s="44" t="s">
        <v>558</v>
      </c>
      <c r="S332" s="44" t="s">
        <v>559</v>
      </c>
      <c r="T332" s="44" t="s">
        <v>1335</v>
      </c>
      <c r="U332" s="44"/>
    </row>
    <row r="333" spans="1:21" ht="45" customHeight="1" x14ac:dyDescent="0.25">
      <c r="A333" s="24">
        <v>332</v>
      </c>
      <c r="B333" s="24" t="s">
        <v>346</v>
      </c>
      <c r="C333" s="24" t="s">
        <v>346</v>
      </c>
      <c r="D333" s="42" t="s">
        <v>5</v>
      </c>
      <c r="E333" s="25" t="s">
        <v>1327</v>
      </c>
      <c r="F333" s="25" t="s">
        <v>1336</v>
      </c>
      <c r="G333" s="24" t="s">
        <v>573</v>
      </c>
      <c r="H333" s="25" t="s">
        <v>553</v>
      </c>
      <c r="I333" s="25" t="s">
        <v>1016</v>
      </c>
      <c r="J333" s="25" t="s">
        <v>555</v>
      </c>
      <c r="K333" s="25" t="s">
        <v>566</v>
      </c>
      <c r="L333" s="25" t="s">
        <v>567</v>
      </c>
      <c r="M333" s="25"/>
      <c r="N333" s="25" t="s">
        <v>986</v>
      </c>
      <c r="O333" s="25"/>
      <c r="P333" s="25" t="s">
        <v>569</v>
      </c>
      <c r="Q333" s="25"/>
      <c r="R333" s="25" t="s">
        <v>558</v>
      </c>
      <c r="S333" s="25" t="s">
        <v>559</v>
      </c>
      <c r="T333" s="25" t="s">
        <v>1337</v>
      </c>
      <c r="U333" s="25"/>
    </row>
    <row r="334" spans="1:21" ht="45" customHeight="1" x14ac:dyDescent="0.25">
      <c r="A334" s="43">
        <v>333</v>
      </c>
      <c r="B334" s="43" t="s">
        <v>347</v>
      </c>
      <c r="C334" s="43" t="s">
        <v>347</v>
      </c>
      <c r="D334" s="42" t="s">
        <v>5</v>
      </c>
      <c r="E334" s="44" t="s">
        <v>1327</v>
      </c>
      <c r="F334" s="44" t="s">
        <v>1338</v>
      </c>
      <c r="G334" s="43" t="s">
        <v>573</v>
      </c>
      <c r="H334" s="44" t="s">
        <v>564</v>
      </c>
      <c r="I334" s="44" t="s">
        <v>1016</v>
      </c>
      <c r="J334" s="44" t="s">
        <v>578</v>
      </c>
      <c r="K334" s="44" t="s">
        <v>1339</v>
      </c>
      <c r="L334" s="44" t="s">
        <v>696</v>
      </c>
      <c r="M334" s="44"/>
      <c r="N334" s="44" t="s">
        <v>986</v>
      </c>
      <c r="O334" s="44"/>
      <c r="P334" s="44"/>
      <c r="Q334" s="44" t="s">
        <v>635</v>
      </c>
      <c r="R334" s="44" t="s">
        <v>558</v>
      </c>
      <c r="S334" s="44" t="s">
        <v>559</v>
      </c>
      <c r="T334" s="44" t="s">
        <v>1340</v>
      </c>
      <c r="U334" s="44"/>
    </row>
    <row r="335" spans="1:21" ht="45" customHeight="1" x14ac:dyDescent="0.25">
      <c r="A335" s="24">
        <v>334</v>
      </c>
      <c r="B335" s="24" t="s">
        <v>348</v>
      </c>
      <c r="C335" s="24" t="s">
        <v>348</v>
      </c>
      <c r="D335" s="42" t="s">
        <v>5</v>
      </c>
      <c r="E335" s="25" t="s">
        <v>550</v>
      </c>
      <c r="F335" s="25" t="s">
        <v>1341</v>
      </c>
      <c r="G335" s="24" t="s">
        <v>573</v>
      </c>
      <c r="H335" s="25" t="s">
        <v>553</v>
      </c>
      <c r="I335" s="25" t="s">
        <v>1016</v>
      </c>
      <c r="J335" s="25" t="s">
        <v>555</v>
      </c>
      <c r="K335" s="25" t="s">
        <v>556</v>
      </c>
      <c r="L335" s="25" t="s">
        <v>567</v>
      </c>
      <c r="M335" s="25"/>
      <c r="N335" s="25"/>
      <c r="O335" s="25"/>
      <c r="P335" s="25" t="s">
        <v>569</v>
      </c>
      <c r="Q335" s="25" t="s">
        <v>635</v>
      </c>
      <c r="R335" s="25" t="s">
        <v>558</v>
      </c>
      <c r="S335" s="25" t="s">
        <v>559</v>
      </c>
      <c r="T335" s="25" t="s">
        <v>1342</v>
      </c>
      <c r="U335" s="25"/>
    </row>
    <row r="336" spans="1:21" ht="45" customHeight="1" x14ac:dyDescent="0.25">
      <c r="A336" s="43">
        <v>335</v>
      </c>
      <c r="B336" s="43" t="s">
        <v>349</v>
      </c>
      <c r="C336" s="43" t="s">
        <v>349</v>
      </c>
      <c r="D336" s="42" t="s">
        <v>5</v>
      </c>
      <c r="E336" s="44" t="s">
        <v>1061</v>
      </c>
      <c r="F336" s="44" t="s">
        <v>1343</v>
      </c>
      <c r="G336" s="43" t="s">
        <v>573</v>
      </c>
      <c r="H336" s="44" t="s">
        <v>610</v>
      </c>
      <c r="I336" s="44" t="s">
        <v>1016</v>
      </c>
      <c r="J336" s="44" t="s">
        <v>578</v>
      </c>
      <c r="K336" s="44" t="s">
        <v>566</v>
      </c>
      <c r="L336" s="44" t="s">
        <v>567</v>
      </c>
      <c r="M336" s="44"/>
      <c r="N336" s="44"/>
      <c r="O336" s="44"/>
      <c r="P336" s="44" t="s">
        <v>569</v>
      </c>
      <c r="Q336" s="44"/>
      <c r="R336" s="44" t="s">
        <v>558</v>
      </c>
      <c r="S336" s="44" t="s">
        <v>559</v>
      </c>
      <c r="T336" s="44" t="s">
        <v>1344</v>
      </c>
      <c r="U336" s="44"/>
    </row>
    <row r="337" spans="1:21" ht="45" customHeight="1" x14ac:dyDescent="0.25">
      <c r="A337" s="24">
        <v>336</v>
      </c>
      <c r="B337" s="24" t="s">
        <v>350</v>
      </c>
      <c r="C337" s="24" t="s">
        <v>350</v>
      </c>
      <c r="D337" s="42" t="s">
        <v>5</v>
      </c>
      <c r="E337" s="25" t="s">
        <v>1061</v>
      </c>
      <c r="F337" s="25" t="s">
        <v>1345</v>
      </c>
      <c r="G337" s="24" t="s">
        <v>573</v>
      </c>
      <c r="H337" s="25" t="s">
        <v>610</v>
      </c>
      <c r="I337" s="25" t="s">
        <v>1016</v>
      </c>
      <c r="J337" s="25" t="s">
        <v>578</v>
      </c>
      <c r="K337" s="25" t="s">
        <v>566</v>
      </c>
      <c r="L337" s="25" t="s">
        <v>567</v>
      </c>
      <c r="M337" s="25"/>
      <c r="N337" s="25"/>
      <c r="O337" s="25"/>
      <c r="P337" s="25" t="s">
        <v>569</v>
      </c>
      <c r="Q337" s="25"/>
      <c r="R337" s="25" t="s">
        <v>558</v>
      </c>
      <c r="S337" s="25" t="s">
        <v>559</v>
      </c>
      <c r="T337" s="25" t="s">
        <v>1346</v>
      </c>
      <c r="U337" s="25"/>
    </row>
    <row r="338" spans="1:21" ht="45" customHeight="1" x14ac:dyDescent="0.25">
      <c r="A338" s="43">
        <v>337</v>
      </c>
      <c r="B338" s="43" t="s">
        <v>351</v>
      </c>
      <c r="C338" s="43" t="s">
        <v>351</v>
      </c>
      <c r="D338" s="42" t="s">
        <v>5</v>
      </c>
      <c r="E338" s="44" t="s">
        <v>1061</v>
      </c>
      <c r="F338" s="44" t="s">
        <v>1347</v>
      </c>
      <c r="G338" s="43" t="s">
        <v>573</v>
      </c>
      <c r="H338" s="44" t="s">
        <v>610</v>
      </c>
      <c r="I338" s="44" t="s">
        <v>1016</v>
      </c>
      <c r="J338" s="44" t="s">
        <v>578</v>
      </c>
      <c r="K338" s="44" t="s">
        <v>566</v>
      </c>
      <c r="L338" s="44" t="s">
        <v>567</v>
      </c>
      <c r="M338" s="44"/>
      <c r="N338" s="44"/>
      <c r="O338" s="44"/>
      <c r="P338" s="44" t="s">
        <v>569</v>
      </c>
      <c r="Q338" s="44"/>
      <c r="R338" s="44" t="s">
        <v>558</v>
      </c>
      <c r="S338" s="44" t="s">
        <v>559</v>
      </c>
      <c r="T338" s="44" t="s">
        <v>1348</v>
      </c>
      <c r="U338" s="44"/>
    </row>
    <row r="339" spans="1:21" ht="45" customHeight="1" x14ac:dyDescent="0.25">
      <c r="A339" s="24">
        <v>338</v>
      </c>
      <c r="B339" s="24" t="s">
        <v>352</v>
      </c>
      <c r="C339" s="24" t="s">
        <v>352</v>
      </c>
      <c r="D339" s="42" t="s">
        <v>5</v>
      </c>
      <c r="E339" s="25" t="s">
        <v>550</v>
      </c>
      <c r="F339" s="25" t="s">
        <v>1349</v>
      </c>
      <c r="G339" s="24" t="s">
        <v>573</v>
      </c>
      <c r="H339" s="25" t="s">
        <v>553</v>
      </c>
      <c r="I339" s="25" t="s">
        <v>1016</v>
      </c>
      <c r="J339" s="25" t="s">
        <v>555</v>
      </c>
      <c r="K339" s="25" t="s">
        <v>556</v>
      </c>
      <c r="L339" s="25" t="s">
        <v>567</v>
      </c>
      <c r="M339" s="25"/>
      <c r="N339" s="25"/>
      <c r="O339" s="25"/>
      <c r="P339" s="25" t="s">
        <v>569</v>
      </c>
      <c r="Q339" s="25"/>
      <c r="R339" s="25" t="s">
        <v>558</v>
      </c>
      <c r="S339" s="25" t="s">
        <v>559</v>
      </c>
      <c r="T339" s="25" t="s">
        <v>1350</v>
      </c>
      <c r="U339" s="25"/>
    </row>
    <row r="340" spans="1:21" ht="45" customHeight="1" x14ac:dyDescent="0.25">
      <c r="A340" s="35">
        <v>339</v>
      </c>
      <c r="B340" s="35" t="s">
        <v>353</v>
      </c>
      <c r="C340" s="35" t="s">
        <v>353</v>
      </c>
      <c r="D340" s="45" t="s">
        <v>6</v>
      </c>
      <c r="E340" s="37" t="s">
        <v>786</v>
      </c>
      <c r="F340" s="37" t="s">
        <v>1351</v>
      </c>
      <c r="G340" s="35" t="s">
        <v>573</v>
      </c>
      <c r="H340" s="37" t="s">
        <v>700</v>
      </c>
      <c r="I340" s="37" t="s">
        <v>1352</v>
      </c>
      <c r="J340" s="37" t="s">
        <v>578</v>
      </c>
      <c r="K340" s="37" t="s">
        <v>556</v>
      </c>
      <c r="L340" s="37" t="s">
        <v>557</v>
      </c>
      <c r="M340" s="37"/>
      <c r="N340" s="37"/>
      <c r="O340" s="37"/>
      <c r="P340" s="37"/>
      <c r="Q340" s="37"/>
      <c r="R340" s="37" t="s">
        <v>558</v>
      </c>
      <c r="S340" s="37" t="s">
        <v>559</v>
      </c>
      <c r="T340" s="37" t="s">
        <v>1353</v>
      </c>
      <c r="U340" s="37"/>
    </row>
    <row r="341" spans="1:21" ht="45" customHeight="1" x14ac:dyDescent="0.25">
      <c r="A341" s="24">
        <v>340</v>
      </c>
      <c r="B341" s="24" t="s">
        <v>354</v>
      </c>
      <c r="C341" s="24" t="s">
        <v>354</v>
      </c>
      <c r="D341" s="45" t="s">
        <v>6</v>
      </c>
      <c r="E341" s="25" t="s">
        <v>786</v>
      </c>
      <c r="F341" s="25" t="s">
        <v>1354</v>
      </c>
      <c r="G341" s="24" t="s">
        <v>573</v>
      </c>
      <c r="H341" s="25" t="s">
        <v>700</v>
      </c>
      <c r="I341" s="25" t="s">
        <v>1352</v>
      </c>
      <c r="J341" s="25" t="s">
        <v>578</v>
      </c>
      <c r="K341" s="25" t="s">
        <v>556</v>
      </c>
      <c r="L341" s="25" t="s">
        <v>557</v>
      </c>
      <c r="M341" s="25"/>
      <c r="N341" s="25"/>
      <c r="O341" s="25"/>
      <c r="P341" s="25"/>
      <c r="Q341" s="25"/>
      <c r="R341" s="25" t="s">
        <v>558</v>
      </c>
      <c r="S341" s="25" t="s">
        <v>559</v>
      </c>
      <c r="T341" s="25" t="s">
        <v>1355</v>
      </c>
      <c r="U341" s="25"/>
    </row>
    <row r="342" spans="1:21" ht="45" customHeight="1" x14ac:dyDescent="0.25">
      <c r="A342" s="35">
        <v>341</v>
      </c>
      <c r="B342" s="35" t="s">
        <v>355</v>
      </c>
      <c r="C342" s="35" t="s">
        <v>355</v>
      </c>
      <c r="D342" s="45" t="s">
        <v>6</v>
      </c>
      <c r="E342" s="37" t="s">
        <v>1356</v>
      </c>
      <c r="F342" s="37" t="s">
        <v>1357</v>
      </c>
      <c r="G342" s="35" t="s">
        <v>573</v>
      </c>
      <c r="H342" s="37" t="s">
        <v>700</v>
      </c>
      <c r="I342" s="37" t="s">
        <v>1352</v>
      </c>
      <c r="J342" s="37" t="s">
        <v>578</v>
      </c>
      <c r="K342" s="37" t="s">
        <v>556</v>
      </c>
      <c r="L342" s="37" t="s">
        <v>557</v>
      </c>
      <c r="M342" s="37"/>
      <c r="N342" s="37"/>
      <c r="O342" s="37" t="s">
        <v>568</v>
      </c>
      <c r="P342" s="37"/>
      <c r="Q342" s="37"/>
      <c r="R342" s="37" t="s">
        <v>558</v>
      </c>
      <c r="S342" s="37" t="s">
        <v>559</v>
      </c>
      <c r="T342" s="37" t="s">
        <v>1358</v>
      </c>
      <c r="U342" s="37"/>
    </row>
    <row r="343" spans="1:21" ht="45" customHeight="1" x14ac:dyDescent="0.25">
      <c r="A343" s="24">
        <v>342</v>
      </c>
      <c r="B343" s="24" t="s">
        <v>356</v>
      </c>
      <c r="C343" s="24" t="s">
        <v>356</v>
      </c>
      <c r="D343" s="45" t="s">
        <v>6</v>
      </c>
      <c r="E343" s="25" t="s">
        <v>550</v>
      </c>
      <c r="F343" s="25" t="s">
        <v>1359</v>
      </c>
      <c r="G343" s="24" t="s">
        <v>573</v>
      </c>
      <c r="H343" s="25" t="s">
        <v>553</v>
      </c>
      <c r="I343" s="25" t="s">
        <v>1352</v>
      </c>
      <c r="J343" s="25" t="s">
        <v>555</v>
      </c>
      <c r="K343" s="25" t="s">
        <v>556</v>
      </c>
      <c r="L343" s="25" t="s">
        <v>557</v>
      </c>
      <c r="M343" s="25"/>
      <c r="N343" s="25"/>
      <c r="O343" s="25"/>
      <c r="P343" s="25"/>
      <c r="Q343" s="25"/>
      <c r="R343" s="25" t="s">
        <v>558</v>
      </c>
      <c r="S343" s="25" t="s">
        <v>559</v>
      </c>
      <c r="T343" s="25" t="s">
        <v>1360</v>
      </c>
      <c r="U343" s="25"/>
    </row>
    <row r="344" spans="1:21" ht="45" customHeight="1" x14ac:dyDescent="0.25">
      <c r="A344" s="35">
        <v>343</v>
      </c>
      <c r="B344" s="35" t="s">
        <v>357</v>
      </c>
      <c r="C344" s="35" t="s">
        <v>357</v>
      </c>
      <c r="D344" s="45" t="s">
        <v>6</v>
      </c>
      <c r="E344" s="37" t="s">
        <v>1135</v>
      </c>
      <c r="F344" s="37" t="s">
        <v>1361</v>
      </c>
      <c r="G344" s="35" t="s">
        <v>573</v>
      </c>
      <c r="H344" s="37" t="s">
        <v>553</v>
      </c>
      <c r="I344" s="37" t="s">
        <v>1352</v>
      </c>
      <c r="J344" s="37" t="s">
        <v>555</v>
      </c>
      <c r="K344" s="37" t="s">
        <v>556</v>
      </c>
      <c r="L344" s="37" t="s">
        <v>567</v>
      </c>
      <c r="M344" s="37"/>
      <c r="N344" s="37"/>
      <c r="O344" s="37"/>
      <c r="P344" s="37" t="s">
        <v>569</v>
      </c>
      <c r="Q344" s="37"/>
      <c r="R344" s="37" t="s">
        <v>558</v>
      </c>
      <c r="S344" s="37" t="s">
        <v>559</v>
      </c>
      <c r="T344" s="37" t="s">
        <v>1362</v>
      </c>
      <c r="U344" s="37"/>
    </row>
    <row r="345" spans="1:21" ht="45" customHeight="1" x14ac:dyDescent="0.25">
      <c r="A345" s="24">
        <v>344</v>
      </c>
      <c r="B345" s="24" t="s">
        <v>358</v>
      </c>
      <c r="C345" s="24" t="s">
        <v>358</v>
      </c>
      <c r="D345" s="45" t="s">
        <v>6</v>
      </c>
      <c r="E345" s="25" t="s">
        <v>1363</v>
      </c>
      <c r="F345" s="25" t="s">
        <v>1364</v>
      </c>
      <c r="G345" s="24" t="s">
        <v>573</v>
      </c>
      <c r="H345" s="25" t="s">
        <v>700</v>
      </c>
      <c r="I345" s="25" t="s">
        <v>1352</v>
      </c>
      <c r="J345" s="25" t="s">
        <v>708</v>
      </c>
      <c r="K345" s="25" t="s">
        <v>556</v>
      </c>
      <c r="L345" s="25" t="s">
        <v>557</v>
      </c>
      <c r="M345" s="25"/>
      <c r="N345" s="25"/>
      <c r="O345" s="25" t="s">
        <v>568</v>
      </c>
      <c r="P345" s="25"/>
      <c r="Q345" s="25"/>
      <c r="R345" s="25" t="s">
        <v>558</v>
      </c>
      <c r="S345" s="25" t="s">
        <v>559</v>
      </c>
      <c r="T345" s="25" t="s">
        <v>1365</v>
      </c>
      <c r="U345" s="25"/>
    </row>
    <row r="346" spans="1:21" ht="45" customHeight="1" x14ac:dyDescent="0.25">
      <c r="A346" s="35">
        <v>345</v>
      </c>
      <c r="B346" s="35" t="s">
        <v>359</v>
      </c>
      <c r="C346" s="35" t="s">
        <v>359</v>
      </c>
      <c r="D346" s="45" t="s">
        <v>6</v>
      </c>
      <c r="E346" s="37" t="s">
        <v>1363</v>
      </c>
      <c r="F346" s="37" t="s">
        <v>1366</v>
      </c>
      <c r="G346" s="35" t="s">
        <v>573</v>
      </c>
      <c r="H346" s="37" t="s">
        <v>700</v>
      </c>
      <c r="I346" s="37" t="s">
        <v>1352</v>
      </c>
      <c r="J346" s="37" t="s">
        <v>708</v>
      </c>
      <c r="K346" s="37" t="s">
        <v>556</v>
      </c>
      <c r="L346" s="37" t="s">
        <v>557</v>
      </c>
      <c r="M346" s="37"/>
      <c r="N346" s="37"/>
      <c r="O346" s="37" t="s">
        <v>568</v>
      </c>
      <c r="P346" s="37"/>
      <c r="Q346" s="37"/>
      <c r="R346" s="37" t="s">
        <v>558</v>
      </c>
      <c r="S346" s="37" t="s">
        <v>559</v>
      </c>
      <c r="T346" s="37" t="s">
        <v>1367</v>
      </c>
      <c r="U346" s="37"/>
    </row>
    <row r="347" spans="1:21" ht="45" customHeight="1" x14ac:dyDescent="0.25">
      <c r="A347" s="24">
        <v>346</v>
      </c>
      <c r="B347" s="24" t="s">
        <v>360</v>
      </c>
      <c r="C347" s="24" t="s">
        <v>360</v>
      </c>
      <c r="D347" s="45" t="s">
        <v>6</v>
      </c>
      <c r="E347" s="25" t="s">
        <v>1117</v>
      </c>
      <c r="F347" s="25" t="s">
        <v>1368</v>
      </c>
      <c r="G347" s="26" t="s">
        <v>552</v>
      </c>
      <c r="H347" s="25" t="s">
        <v>610</v>
      </c>
      <c r="I347" s="25" t="s">
        <v>1352</v>
      </c>
      <c r="J347" s="25" t="s">
        <v>708</v>
      </c>
      <c r="K347" s="25" t="s">
        <v>811</v>
      </c>
      <c r="L347" s="25" t="s">
        <v>567</v>
      </c>
      <c r="M347" s="25"/>
      <c r="N347" s="25" t="s">
        <v>602</v>
      </c>
      <c r="O347" s="25" t="s">
        <v>568</v>
      </c>
      <c r="P347" s="25" t="s">
        <v>569</v>
      </c>
      <c r="Q347" s="25"/>
      <c r="R347" s="25" t="s">
        <v>570</v>
      </c>
      <c r="S347" s="25" t="s">
        <v>559</v>
      </c>
      <c r="T347" s="25" t="s">
        <v>1369</v>
      </c>
      <c r="U347" s="25" t="s">
        <v>561</v>
      </c>
    </row>
    <row r="348" spans="1:21" ht="45" customHeight="1" x14ac:dyDescent="0.25">
      <c r="A348" s="35">
        <v>347</v>
      </c>
      <c r="B348" s="35" t="s">
        <v>361</v>
      </c>
      <c r="C348" s="35" t="s">
        <v>361</v>
      </c>
      <c r="D348" s="45" t="s">
        <v>6</v>
      </c>
      <c r="E348" s="37" t="s">
        <v>550</v>
      </c>
      <c r="F348" s="37" t="s">
        <v>1370</v>
      </c>
      <c r="G348" s="38" t="s">
        <v>552</v>
      </c>
      <c r="H348" s="37" t="s">
        <v>610</v>
      </c>
      <c r="I348" s="37" t="s">
        <v>1352</v>
      </c>
      <c r="J348" s="37" t="s">
        <v>708</v>
      </c>
      <c r="K348" s="37" t="s">
        <v>611</v>
      </c>
      <c r="L348" s="37" t="s">
        <v>567</v>
      </c>
      <c r="M348" s="37"/>
      <c r="N348" s="37"/>
      <c r="O348" s="37" t="s">
        <v>568</v>
      </c>
      <c r="P348" s="37" t="s">
        <v>569</v>
      </c>
      <c r="Q348" s="37"/>
      <c r="R348" s="37" t="s">
        <v>570</v>
      </c>
      <c r="S348" s="37" t="s">
        <v>559</v>
      </c>
      <c r="T348" s="37" t="s">
        <v>1371</v>
      </c>
      <c r="U348" s="37" t="s">
        <v>561</v>
      </c>
    </row>
    <row r="349" spans="1:21" ht="45" customHeight="1" x14ac:dyDescent="0.25">
      <c r="A349" s="24">
        <v>348</v>
      </c>
      <c r="B349" s="24" t="s">
        <v>362</v>
      </c>
      <c r="C349" s="24" t="s">
        <v>362</v>
      </c>
      <c r="D349" s="45" t="s">
        <v>6</v>
      </c>
      <c r="E349" s="25" t="s">
        <v>550</v>
      </c>
      <c r="F349" s="25" t="s">
        <v>1372</v>
      </c>
      <c r="G349" s="24" t="s">
        <v>573</v>
      </c>
      <c r="H349" s="25" t="s">
        <v>700</v>
      </c>
      <c r="I349" s="25" t="s">
        <v>1352</v>
      </c>
      <c r="J349" s="25" t="s">
        <v>708</v>
      </c>
      <c r="K349" s="25" t="s">
        <v>556</v>
      </c>
      <c r="L349" s="25" t="s">
        <v>557</v>
      </c>
      <c r="M349" s="25"/>
      <c r="N349" s="25"/>
      <c r="O349" s="25" t="s">
        <v>568</v>
      </c>
      <c r="P349" s="25"/>
      <c r="Q349" s="25"/>
      <c r="R349" s="25" t="s">
        <v>570</v>
      </c>
      <c r="S349" s="25" t="s">
        <v>559</v>
      </c>
      <c r="T349" s="25" t="s">
        <v>1373</v>
      </c>
      <c r="U349" s="25"/>
    </row>
    <row r="350" spans="1:21" ht="45" customHeight="1" x14ac:dyDescent="0.25">
      <c r="A350" s="35">
        <v>349</v>
      </c>
      <c r="B350" s="35" t="s">
        <v>363</v>
      </c>
      <c r="C350" s="35" t="s">
        <v>363</v>
      </c>
      <c r="D350" s="45" t="s">
        <v>6</v>
      </c>
      <c r="E350" s="37" t="s">
        <v>1374</v>
      </c>
      <c r="F350" s="37" t="s">
        <v>1375</v>
      </c>
      <c r="G350" s="35" t="s">
        <v>573</v>
      </c>
      <c r="H350" s="37" t="s">
        <v>700</v>
      </c>
      <c r="I350" s="37" t="s">
        <v>1352</v>
      </c>
      <c r="J350" s="37" t="s">
        <v>578</v>
      </c>
      <c r="K350" s="37" t="s">
        <v>556</v>
      </c>
      <c r="L350" s="37" t="s">
        <v>557</v>
      </c>
      <c r="M350" s="37"/>
      <c r="N350" s="37"/>
      <c r="O350" s="37"/>
      <c r="P350" s="37"/>
      <c r="Q350" s="37"/>
      <c r="R350" s="37" t="s">
        <v>558</v>
      </c>
      <c r="S350" s="37" t="s">
        <v>559</v>
      </c>
      <c r="T350" s="37" t="s">
        <v>1376</v>
      </c>
      <c r="U350" s="37"/>
    </row>
    <row r="351" spans="1:21" ht="45" customHeight="1" x14ac:dyDescent="0.25">
      <c r="A351" s="24">
        <v>350</v>
      </c>
      <c r="B351" s="24" t="s">
        <v>364</v>
      </c>
      <c r="C351" s="24" t="s">
        <v>364</v>
      </c>
      <c r="D351" s="45" t="s">
        <v>6</v>
      </c>
      <c r="E351" s="25" t="s">
        <v>1377</v>
      </c>
      <c r="F351" s="25" t="s">
        <v>1378</v>
      </c>
      <c r="G351" s="24" t="s">
        <v>573</v>
      </c>
      <c r="H351" s="25" t="s">
        <v>564</v>
      </c>
      <c r="I351" s="25" t="s">
        <v>1352</v>
      </c>
      <c r="J351" s="25" t="s">
        <v>565</v>
      </c>
      <c r="K351" s="25" t="s">
        <v>566</v>
      </c>
      <c r="L351" s="25" t="s">
        <v>567</v>
      </c>
      <c r="M351" s="25"/>
      <c r="N351" s="25"/>
      <c r="O351" s="25"/>
      <c r="P351" s="25" t="s">
        <v>569</v>
      </c>
      <c r="Q351" s="25"/>
      <c r="R351" s="25" t="s">
        <v>558</v>
      </c>
      <c r="S351" s="25" t="s">
        <v>559</v>
      </c>
      <c r="T351" s="25" t="s">
        <v>1379</v>
      </c>
      <c r="U351" s="25"/>
    </row>
    <row r="352" spans="1:21" ht="45" customHeight="1" x14ac:dyDescent="0.25">
      <c r="A352" s="35">
        <v>351</v>
      </c>
      <c r="B352" s="35" t="s">
        <v>365</v>
      </c>
      <c r="C352" s="35" t="s">
        <v>365</v>
      </c>
      <c r="D352" s="45" t="s">
        <v>6</v>
      </c>
      <c r="E352" s="37" t="s">
        <v>1377</v>
      </c>
      <c r="F352" s="37" t="s">
        <v>1380</v>
      </c>
      <c r="G352" s="38" t="s">
        <v>552</v>
      </c>
      <c r="H352" s="37" t="s">
        <v>564</v>
      </c>
      <c r="I352" s="37" t="s">
        <v>1352</v>
      </c>
      <c r="J352" s="37" t="s">
        <v>578</v>
      </c>
      <c r="K352" s="37" t="s">
        <v>556</v>
      </c>
      <c r="L352" s="37" t="s">
        <v>557</v>
      </c>
      <c r="M352" s="37"/>
      <c r="N352" s="37"/>
      <c r="O352" s="37"/>
      <c r="P352" s="37"/>
      <c r="Q352" s="37"/>
      <c r="R352" s="37" t="s">
        <v>558</v>
      </c>
      <c r="S352" s="37" t="s">
        <v>559</v>
      </c>
      <c r="T352" s="37" t="s">
        <v>1381</v>
      </c>
      <c r="U352" s="37" t="s">
        <v>561</v>
      </c>
    </row>
    <row r="353" spans="1:21" ht="45" customHeight="1" x14ac:dyDescent="0.25">
      <c r="A353" s="24">
        <v>352</v>
      </c>
      <c r="B353" s="24" t="s">
        <v>366</v>
      </c>
      <c r="C353" s="24" t="s">
        <v>366</v>
      </c>
      <c r="D353" s="45" t="s">
        <v>6</v>
      </c>
      <c r="E353" s="25" t="s">
        <v>550</v>
      </c>
      <c r="F353" s="25" t="s">
        <v>1382</v>
      </c>
      <c r="G353" s="26" t="s">
        <v>552</v>
      </c>
      <c r="H353" s="25" t="s">
        <v>553</v>
      </c>
      <c r="I353" s="25" t="s">
        <v>1352</v>
      </c>
      <c r="J353" s="25" t="s">
        <v>555</v>
      </c>
      <c r="K353" s="25" t="s">
        <v>556</v>
      </c>
      <c r="L353" s="25" t="s">
        <v>557</v>
      </c>
      <c r="M353" s="25"/>
      <c r="N353" s="25"/>
      <c r="O353" s="25"/>
      <c r="P353" s="25"/>
      <c r="Q353" s="25"/>
      <c r="R353" s="25" t="s">
        <v>558</v>
      </c>
      <c r="S353" s="25" t="s">
        <v>559</v>
      </c>
      <c r="T353" s="25" t="s">
        <v>1383</v>
      </c>
      <c r="U353" s="25" t="s">
        <v>561</v>
      </c>
    </row>
    <row r="354" spans="1:21" ht="45" customHeight="1" x14ac:dyDescent="0.25">
      <c r="A354" s="35">
        <v>353</v>
      </c>
      <c r="B354" s="35" t="s">
        <v>367</v>
      </c>
      <c r="C354" s="35" t="s">
        <v>367</v>
      </c>
      <c r="D354" s="45" t="s">
        <v>6</v>
      </c>
      <c r="E354" s="37" t="s">
        <v>1384</v>
      </c>
      <c r="F354" s="37" t="s">
        <v>1385</v>
      </c>
      <c r="G354" s="35" t="s">
        <v>573</v>
      </c>
      <c r="H354" s="37" t="s">
        <v>700</v>
      </c>
      <c r="I354" s="37" t="s">
        <v>1352</v>
      </c>
      <c r="J354" s="37" t="s">
        <v>578</v>
      </c>
      <c r="K354" s="37" t="s">
        <v>556</v>
      </c>
      <c r="L354" s="37" t="s">
        <v>567</v>
      </c>
      <c r="M354" s="37"/>
      <c r="N354" s="37" t="s">
        <v>1386</v>
      </c>
      <c r="O354" s="37"/>
      <c r="P354" s="37" t="s">
        <v>569</v>
      </c>
      <c r="Q354" s="37"/>
      <c r="R354" s="37" t="s">
        <v>558</v>
      </c>
      <c r="S354" s="37" t="s">
        <v>559</v>
      </c>
      <c r="T354" s="37" t="s">
        <v>1387</v>
      </c>
      <c r="U354" s="37"/>
    </row>
    <row r="355" spans="1:21" ht="45" customHeight="1" x14ac:dyDescent="0.25">
      <c r="A355" s="24">
        <v>354</v>
      </c>
      <c r="B355" s="24" t="s">
        <v>368</v>
      </c>
      <c r="C355" s="24" t="s">
        <v>368</v>
      </c>
      <c r="D355" s="45" t="s">
        <v>6</v>
      </c>
      <c r="E355" s="25" t="s">
        <v>1384</v>
      </c>
      <c r="F355" s="25" t="s">
        <v>1388</v>
      </c>
      <c r="G355" s="24" t="s">
        <v>573</v>
      </c>
      <c r="H355" s="25" t="s">
        <v>553</v>
      </c>
      <c r="I355" s="25" t="s">
        <v>1352</v>
      </c>
      <c r="J355" s="25" t="s">
        <v>555</v>
      </c>
      <c r="K355" s="25" t="s">
        <v>556</v>
      </c>
      <c r="L355" s="25" t="s">
        <v>567</v>
      </c>
      <c r="M355" s="25"/>
      <c r="N355" s="25" t="s">
        <v>1386</v>
      </c>
      <c r="O355" s="25"/>
      <c r="P355" s="25" t="s">
        <v>569</v>
      </c>
      <c r="Q355" s="25"/>
      <c r="R355" s="25" t="s">
        <v>558</v>
      </c>
      <c r="S355" s="25" t="s">
        <v>559</v>
      </c>
      <c r="T355" s="25" t="s">
        <v>1389</v>
      </c>
      <c r="U355" s="25"/>
    </row>
    <row r="356" spans="1:21" ht="45" customHeight="1" x14ac:dyDescent="0.25">
      <c r="A356" s="35">
        <v>355</v>
      </c>
      <c r="B356" s="35" t="s">
        <v>369</v>
      </c>
      <c r="C356" s="35" t="s">
        <v>369</v>
      </c>
      <c r="D356" s="45" t="s">
        <v>6</v>
      </c>
      <c r="E356" s="37" t="s">
        <v>1384</v>
      </c>
      <c r="F356" s="37" t="s">
        <v>1390</v>
      </c>
      <c r="G356" s="35" t="s">
        <v>573</v>
      </c>
      <c r="H356" s="37" t="s">
        <v>610</v>
      </c>
      <c r="I356" s="37" t="s">
        <v>1352</v>
      </c>
      <c r="J356" s="37" t="s">
        <v>578</v>
      </c>
      <c r="K356" s="37" t="s">
        <v>556</v>
      </c>
      <c r="L356" s="37" t="s">
        <v>567</v>
      </c>
      <c r="M356" s="37"/>
      <c r="N356" s="37" t="s">
        <v>1386</v>
      </c>
      <c r="O356" s="37"/>
      <c r="P356" s="37" t="s">
        <v>569</v>
      </c>
      <c r="Q356" s="37"/>
      <c r="R356" s="37" t="s">
        <v>558</v>
      </c>
      <c r="S356" s="37" t="s">
        <v>559</v>
      </c>
      <c r="T356" s="37" t="s">
        <v>1391</v>
      </c>
      <c r="U356" s="37"/>
    </row>
    <row r="357" spans="1:21" ht="45" customHeight="1" x14ac:dyDescent="0.25">
      <c r="A357" s="24">
        <v>356</v>
      </c>
      <c r="B357" s="24" t="s">
        <v>370</v>
      </c>
      <c r="C357" s="24" t="s">
        <v>370</v>
      </c>
      <c r="D357" s="45" t="s">
        <v>6</v>
      </c>
      <c r="E357" s="25" t="s">
        <v>550</v>
      </c>
      <c r="F357" s="25" t="s">
        <v>1392</v>
      </c>
      <c r="G357" s="24" t="s">
        <v>573</v>
      </c>
      <c r="H357" s="25" t="s">
        <v>564</v>
      </c>
      <c r="I357" s="25" t="s">
        <v>1352</v>
      </c>
      <c r="J357" s="25" t="s">
        <v>578</v>
      </c>
      <c r="K357" s="25" t="s">
        <v>556</v>
      </c>
      <c r="L357" s="25" t="s">
        <v>557</v>
      </c>
      <c r="M357" s="25"/>
      <c r="N357" s="25"/>
      <c r="O357" s="25"/>
      <c r="P357" s="25"/>
      <c r="Q357" s="25"/>
      <c r="R357" s="25" t="s">
        <v>558</v>
      </c>
      <c r="S357" s="25" t="s">
        <v>559</v>
      </c>
      <c r="T357" s="25" t="s">
        <v>1393</v>
      </c>
      <c r="U357" s="25"/>
    </row>
    <row r="358" spans="1:21" ht="45" customHeight="1" x14ac:dyDescent="0.25">
      <c r="A358" s="35">
        <v>357</v>
      </c>
      <c r="B358" s="35" t="s">
        <v>371</v>
      </c>
      <c r="C358" s="35" t="s">
        <v>371</v>
      </c>
      <c r="D358" s="45" t="s">
        <v>6</v>
      </c>
      <c r="E358" s="37" t="s">
        <v>714</v>
      </c>
      <c r="F358" s="37" t="s">
        <v>1394</v>
      </c>
      <c r="G358" s="35" t="s">
        <v>573</v>
      </c>
      <c r="H358" s="37" t="s">
        <v>553</v>
      </c>
      <c r="I358" s="37" t="s">
        <v>1352</v>
      </c>
      <c r="J358" s="37" t="s">
        <v>555</v>
      </c>
      <c r="K358" s="37" t="s">
        <v>556</v>
      </c>
      <c r="L358" s="37" t="s">
        <v>557</v>
      </c>
      <c r="M358" s="37"/>
      <c r="N358" s="37"/>
      <c r="O358" s="37"/>
      <c r="P358" s="37"/>
      <c r="Q358" s="37"/>
      <c r="R358" s="37" t="s">
        <v>558</v>
      </c>
      <c r="S358" s="37" t="s">
        <v>559</v>
      </c>
      <c r="T358" s="37" t="s">
        <v>1395</v>
      </c>
      <c r="U358" s="37"/>
    </row>
    <row r="359" spans="1:21" ht="45" customHeight="1" x14ac:dyDescent="0.25">
      <c r="A359" s="24">
        <v>358</v>
      </c>
      <c r="B359" s="24" t="s">
        <v>372</v>
      </c>
      <c r="C359" s="24" t="s">
        <v>372</v>
      </c>
      <c r="D359" s="45" t="s">
        <v>6</v>
      </c>
      <c r="E359" s="25" t="s">
        <v>1377</v>
      </c>
      <c r="F359" s="25" t="s">
        <v>1396</v>
      </c>
      <c r="G359" s="24" t="s">
        <v>573</v>
      </c>
      <c r="H359" s="25" t="s">
        <v>564</v>
      </c>
      <c r="I359" s="25" t="s">
        <v>1352</v>
      </c>
      <c r="J359" s="25" t="s">
        <v>565</v>
      </c>
      <c r="K359" s="25" t="s">
        <v>566</v>
      </c>
      <c r="L359" s="25" t="s">
        <v>567</v>
      </c>
      <c r="M359" s="25"/>
      <c r="N359" s="25"/>
      <c r="O359" s="25"/>
      <c r="P359" s="25" t="s">
        <v>569</v>
      </c>
      <c r="Q359" s="25"/>
      <c r="R359" s="25" t="s">
        <v>558</v>
      </c>
      <c r="S359" s="25" t="s">
        <v>559</v>
      </c>
      <c r="T359" s="25" t="s">
        <v>1397</v>
      </c>
      <c r="U359" s="25"/>
    </row>
    <row r="360" spans="1:21" ht="45" customHeight="1" x14ac:dyDescent="0.25">
      <c r="A360" s="35">
        <v>359</v>
      </c>
      <c r="B360" s="35" t="s">
        <v>373</v>
      </c>
      <c r="C360" s="35" t="s">
        <v>373</v>
      </c>
      <c r="D360" s="45" t="s">
        <v>6</v>
      </c>
      <c r="E360" s="37" t="s">
        <v>1374</v>
      </c>
      <c r="F360" s="37" t="s">
        <v>1398</v>
      </c>
      <c r="G360" s="35" t="s">
        <v>573</v>
      </c>
      <c r="H360" s="37" t="s">
        <v>700</v>
      </c>
      <c r="I360" s="37" t="s">
        <v>1352</v>
      </c>
      <c r="J360" s="37" t="s">
        <v>578</v>
      </c>
      <c r="K360" s="37" t="s">
        <v>556</v>
      </c>
      <c r="L360" s="37" t="s">
        <v>557</v>
      </c>
      <c r="M360" s="37"/>
      <c r="N360" s="37"/>
      <c r="O360" s="37" t="s">
        <v>568</v>
      </c>
      <c r="P360" s="37"/>
      <c r="Q360" s="37"/>
      <c r="R360" s="37" t="s">
        <v>558</v>
      </c>
      <c r="S360" s="37" t="s">
        <v>559</v>
      </c>
      <c r="T360" s="37" t="s">
        <v>1399</v>
      </c>
      <c r="U360" s="37"/>
    </row>
    <row r="361" spans="1:21" ht="45" customHeight="1" x14ac:dyDescent="0.25">
      <c r="A361" s="24">
        <v>360</v>
      </c>
      <c r="B361" s="24" t="s">
        <v>374</v>
      </c>
      <c r="C361" s="24" t="s">
        <v>374</v>
      </c>
      <c r="D361" s="45" t="s">
        <v>6</v>
      </c>
      <c r="E361" s="25" t="s">
        <v>1356</v>
      </c>
      <c r="F361" s="25" t="s">
        <v>1400</v>
      </c>
      <c r="G361" s="24" t="s">
        <v>573</v>
      </c>
      <c r="H361" s="25" t="s">
        <v>700</v>
      </c>
      <c r="I361" s="25" t="s">
        <v>1352</v>
      </c>
      <c r="J361" s="25" t="s">
        <v>578</v>
      </c>
      <c r="K361" s="25" t="s">
        <v>556</v>
      </c>
      <c r="L361" s="25" t="s">
        <v>557</v>
      </c>
      <c r="M361" s="25"/>
      <c r="N361" s="25"/>
      <c r="O361" s="25" t="s">
        <v>568</v>
      </c>
      <c r="P361" s="25"/>
      <c r="Q361" s="25"/>
      <c r="R361" s="25" t="s">
        <v>558</v>
      </c>
      <c r="S361" s="25" t="s">
        <v>559</v>
      </c>
      <c r="T361" s="25" t="s">
        <v>1401</v>
      </c>
      <c r="U361" s="25"/>
    </row>
    <row r="362" spans="1:21" ht="45" customHeight="1" x14ac:dyDescent="0.25">
      <c r="A362" s="35">
        <v>361</v>
      </c>
      <c r="B362" s="35" t="s">
        <v>375</v>
      </c>
      <c r="C362" s="35" t="s">
        <v>375</v>
      </c>
      <c r="D362" s="45" t="s">
        <v>6</v>
      </c>
      <c r="E362" s="37" t="s">
        <v>1402</v>
      </c>
      <c r="F362" s="37" t="s">
        <v>1403</v>
      </c>
      <c r="G362" s="35" t="s">
        <v>573</v>
      </c>
      <c r="H362" s="37" t="s">
        <v>700</v>
      </c>
      <c r="I362" s="37" t="s">
        <v>1352</v>
      </c>
      <c r="J362" s="37" t="s">
        <v>578</v>
      </c>
      <c r="K362" s="37" t="s">
        <v>556</v>
      </c>
      <c r="L362" s="37" t="s">
        <v>557</v>
      </c>
      <c r="M362" s="37"/>
      <c r="N362" s="37"/>
      <c r="O362" s="37"/>
      <c r="P362" s="37"/>
      <c r="Q362" s="37"/>
      <c r="R362" s="37" t="s">
        <v>558</v>
      </c>
      <c r="S362" s="37" t="s">
        <v>559</v>
      </c>
      <c r="T362" s="37" t="s">
        <v>1404</v>
      </c>
      <c r="U362" s="37"/>
    </row>
    <row r="363" spans="1:21" ht="45" customHeight="1" x14ac:dyDescent="0.25">
      <c r="A363" s="24">
        <v>362</v>
      </c>
      <c r="B363" s="24" t="s">
        <v>376</v>
      </c>
      <c r="C363" s="24" t="s">
        <v>376</v>
      </c>
      <c r="D363" s="45" t="s">
        <v>6</v>
      </c>
      <c r="E363" s="25" t="s">
        <v>1405</v>
      </c>
      <c r="F363" s="25" t="s">
        <v>1406</v>
      </c>
      <c r="G363" s="24" t="s">
        <v>573</v>
      </c>
      <c r="H363" s="25" t="s">
        <v>553</v>
      </c>
      <c r="I363" s="25" t="s">
        <v>1352</v>
      </c>
      <c r="J363" s="25" t="s">
        <v>555</v>
      </c>
      <c r="K363" s="25" t="s">
        <v>556</v>
      </c>
      <c r="L363" s="25" t="s">
        <v>557</v>
      </c>
      <c r="M363" s="25"/>
      <c r="N363" s="25"/>
      <c r="O363" s="25"/>
      <c r="P363" s="25"/>
      <c r="Q363" s="25"/>
      <c r="R363" s="25" t="s">
        <v>558</v>
      </c>
      <c r="S363" s="25" t="s">
        <v>559</v>
      </c>
      <c r="T363" s="25" t="s">
        <v>1407</v>
      </c>
      <c r="U363" s="25"/>
    </row>
    <row r="364" spans="1:21" ht="45" customHeight="1" x14ac:dyDescent="0.25">
      <c r="A364" s="35">
        <v>363</v>
      </c>
      <c r="B364" s="35" t="s">
        <v>377</v>
      </c>
      <c r="C364" s="35" t="s">
        <v>377</v>
      </c>
      <c r="D364" s="45" t="s">
        <v>6</v>
      </c>
      <c r="E364" s="37" t="s">
        <v>786</v>
      </c>
      <c r="F364" s="37" t="s">
        <v>1408</v>
      </c>
      <c r="G364" s="35" t="s">
        <v>573</v>
      </c>
      <c r="H364" s="37" t="s">
        <v>700</v>
      </c>
      <c r="I364" s="37" t="s">
        <v>1352</v>
      </c>
      <c r="J364" s="37" t="s">
        <v>578</v>
      </c>
      <c r="K364" s="37" t="s">
        <v>556</v>
      </c>
      <c r="L364" s="37" t="s">
        <v>557</v>
      </c>
      <c r="M364" s="37"/>
      <c r="N364" s="37"/>
      <c r="O364" s="37"/>
      <c r="P364" s="37"/>
      <c r="Q364" s="37"/>
      <c r="R364" s="37" t="s">
        <v>558</v>
      </c>
      <c r="S364" s="37" t="s">
        <v>559</v>
      </c>
      <c r="T364" s="37" t="s">
        <v>1409</v>
      </c>
      <c r="U364" s="37"/>
    </row>
    <row r="365" spans="1:21" ht="45" customHeight="1" x14ac:dyDescent="0.25">
      <c r="A365" s="24">
        <v>364</v>
      </c>
      <c r="B365" s="24" t="s">
        <v>378</v>
      </c>
      <c r="C365" s="24" t="s">
        <v>378</v>
      </c>
      <c r="D365" s="45" t="s">
        <v>6</v>
      </c>
      <c r="E365" s="25" t="s">
        <v>550</v>
      </c>
      <c r="F365" s="25" t="s">
        <v>1410</v>
      </c>
      <c r="G365" s="24" t="s">
        <v>573</v>
      </c>
      <c r="H365" s="25" t="s">
        <v>553</v>
      </c>
      <c r="I365" s="25" t="s">
        <v>1352</v>
      </c>
      <c r="J365" s="25" t="s">
        <v>555</v>
      </c>
      <c r="K365" s="25" t="s">
        <v>556</v>
      </c>
      <c r="L365" s="25" t="s">
        <v>557</v>
      </c>
      <c r="M365" s="25"/>
      <c r="N365" s="25"/>
      <c r="O365" s="25"/>
      <c r="P365" s="25"/>
      <c r="Q365" s="25"/>
      <c r="R365" s="25" t="s">
        <v>558</v>
      </c>
      <c r="S365" s="25" t="s">
        <v>559</v>
      </c>
      <c r="T365" s="25" t="s">
        <v>1411</v>
      </c>
      <c r="U365" s="25"/>
    </row>
    <row r="366" spans="1:21" ht="45" customHeight="1" x14ac:dyDescent="0.25">
      <c r="A366" s="35">
        <v>365</v>
      </c>
      <c r="B366" s="35" t="s">
        <v>379</v>
      </c>
      <c r="C366" s="35" t="s">
        <v>379</v>
      </c>
      <c r="D366" s="45" t="s">
        <v>6</v>
      </c>
      <c r="E366" s="37" t="s">
        <v>550</v>
      </c>
      <c r="F366" s="37" t="s">
        <v>1412</v>
      </c>
      <c r="G366" s="35" t="s">
        <v>573</v>
      </c>
      <c r="H366" s="37" t="s">
        <v>553</v>
      </c>
      <c r="I366" s="37" t="s">
        <v>1352</v>
      </c>
      <c r="J366" s="37" t="s">
        <v>555</v>
      </c>
      <c r="K366" s="37" t="s">
        <v>556</v>
      </c>
      <c r="L366" s="37" t="s">
        <v>557</v>
      </c>
      <c r="M366" s="37"/>
      <c r="N366" s="37"/>
      <c r="O366" s="37"/>
      <c r="P366" s="37"/>
      <c r="Q366" s="37"/>
      <c r="R366" s="37" t="s">
        <v>558</v>
      </c>
      <c r="S366" s="37" t="s">
        <v>559</v>
      </c>
      <c r="T366" s="37" t="s">
        <v>1413</v>
      </c>
      <c r="U366" s="37"/>
    </row>
    <row r="367" spans="1:21" ht="45" customHeight="1" x14ac:dyDescent="0.25">
      <c r="A367" s="24">
        <v>366</v>
      </c>
      <c r="B367" s="24" t="s">
        <v>380</v>
      </c>
      <c r="C367" s="24" t="s">
        <v>380</v>
      </c>
      <c r="D367" s="45" t="s">
        <v>6</v>
      </c>
      <c r="E367" s="25" t="s">
        <v>1414</v>
      </c>
      <c r="F367" s="25" t="s">
        <v>1415</v>
      </c>
      <c r="G367" s="24" t="s">
        <v>573</v>
      </c>
      <c r="H367" s="25" t="s">
        <v>564</v>
      </c>
      <c r="I367" s="25" t="s">
        <v>1352</v>
      </c>
      <c r="J367" s="25" t="s">
        <v>565</v>
      </c>
      <c r="K367" s="25" t="s">
        <v>566</v>
      </c>
      <c r="L367" s="25" t="s">
        <v>567</v>
      </c>
      <c r="M367" s="25"/>
      <c r="N367" s="25" t="s">
        <v>1308</v>
      </c>
      <c r="O367" s="25"/>
      <c r="P367" s="25" t="s">
        <v>569</v>
      </c>
      <c r="Q367" s="25"/>
      <c r="R367" s="25" t="s">
        <v>558</v>
      </c>
      <c r="S367" s="25" t="s">
        <v>559</v>
      </c>
      <c r="T367" s="25" t="s">
        <v>1416</v>
      </c>
      <c r="U367" s="25"/>
    </row>
    <row r="368" spans="1:21" ht="45" customHeight="1" x14ac:dyDescent="0.25">
      <c r="A368" s="35">
        <v>367</v>
      </c>
      <c r="B368" s="35" t="s">
        <v>381</v>
      </c>
      <c r="C368" s="35" t="s">
        <v>381</v>
      </c>
      <c r="D368" s="45" t="s">
        <v>6</v>
      </c>
      <c r="E368" s="37" t="s">
        <v>1414</v>
      </c>
      <c r="F368" s="37" t="s">
        <v>1417</v>
      </c>
      <c r="G368" s="35" t="s">
        <v>573</v>
      </c>
      <c r="H368" s="37" t="s">
        <v>564</v>
      </c>
      <c r="I368" s="37" t="s">
        <v>1352</v>
      </c>
      <c r="J368" s="37" t="s">
        <v>578</v>
      </c>
      <c r="K368" s="37" t="s">
        <v>1418</v>
      </c>
      <c r="L368" s="37" t="s">
        <v>557</v>
      </c>
      <c r="M368" s="37"/>
      <c r="N368" s="37" t="s">
        <v>1308</v>
      </c>
      <c r="O368" s="37"/>
      <c r="P368" s="37"/>
      <c r="Q368" s="37"/>
      <c r="R368" s="37" t="s">
        <v>558</v>
      </c>
      <c r="S368" s="37" t="s">
        <v>559</v>
      </c>
      <c r="T368" s="37" t="s">
        <v>1419</v>
      </c>
      <c r="U368" s="37"/>
    </row>
    <row r="369" spans="1:21" ht="45" customHeight="1" x14ac:dyDescent="0.25">
      <c r="A369" s="24">
        <v>368</v>
      </c>
      <c r="B369" s="24" t="s">
        <v>382</v>
      </c>
      <c r="C369" s="24" t="s">
        <v>382</v>
      </c>
      <c r="D369" s="45" t="s">
        <v>6</v>
      </c>
      <c r="E369" s="25" t="s">
        <v>1414</v>
      </c>
      <c r="F369" s="25" t="s">
        <v>1420</v>
      </c>
      <c r="G369" s="24" t="s">
        <v>573</v>
      </c>
      <c r="H369" s="25" t="s">
        <v>564</v>
      </c>
      <c r="I369" s="25" t="s">
        <v>1352</v>
      </c>
      <c r="J369" s="25" t="s">
        <v>578</v>
      </c>
      <c r="K369" s="25" t="s">
        <v>566</v>
      </c>
      <c r="L369" s="25" t="s">
        <v>567</v>
      </c>
      <c r="M369" s="25"/>
      <c r="N369" s="25" t="s">
        <v>1308</v>
      </c>
      <c r="O369" s="25"/>
      <c r="P369" s="25" t="s">
        <v>569</v>
      </c>
      <c r="Q369" s="25"/>
      <c r="R369" s="25" t="s">
        <v>558</v>
      </c>
      <c r="S369" s="25" t="s">
        <v>559</v>
      </c>
      <c r="T369" s="25" t="s">
        <v>1421</v>
      </c>
      <c r="U369" s="25"/>
    </row>
    <row r="370" spans="1:21" ht="45" customHeight="1" x14ac:dyDescent="0.25">
      <c r="A370" s="35">
        <v>369</v>
      </c>
      <c r="B370" s="35" t="s">
        <v>383</v>
      </c>
      <c r="C370" s="35" t="s">
        <v>383</v>
      </c>
      <c r="D370" s="45" t="s">
        <v>6</v>
      </c>
      <c r="E370" s="37" t="s">
        <v>1414</v>
      </c>
      <c r="F370" s="37" t="s">
        <v>1422</v>
      </c>
      <c r="G370" s="35" t="s">
        <v>573</v>
      </c>
      <c r="H370" s="37" t="s">
        <v>564</v>
      </c>
      <c r="I370" s="37" t="s">
        <v>1352</v>
      </c>
      <c r="J370" s="37" t="s">
        <v>578</v>
      </c>
      <c r="K370" s="37" t="s">
        <v>1418</v>
      </c>
      <c r="L370" s="37" t="s">
        <v>557</v>
      </c>
      <c r="M370" s="37"/>
      <c r="N370" s="37" t="s">
        <v>1308</v>
      </c>
      <c r="O370" s="37"/>
      <c r="P370" s="37"/>
      <c r="Q370" s="37"/>
      <c r="R370" s="37" t="s">
        <v>558</v>
      </c>
      <c r="S370" s="37" t="s">
        <v>559</v>
      </c>
      <c r="T370" s="37" t="s">
        <v>1423</v>
      </c>
      <c r="U370" s="37"/>
    </row>
    <row r="371" spans="1:21" ht="45" customHeight="1" x14ac:dyDescent="0.25">
      <c r="A371" s="24">
        <v>370</v>
      </c>
      <c r="B371" s="24" t="s">
        <v>384</v>
      </c>
      <c r="C371" s="24" t="s">
        <v>384</v>
      </c>
      <c r="D371" s="45" t="s">
        <v>6</v>
      </c>
      <c r="E371" s="25" t="s">
        <v>1414</v>
      </c>
      <c r="F371" s="25" t="s">
        <v>1424</v>
      </c>
      <c r="G371" s="24" t="s">
        <v>573</v>
      </c>
      <c r="H371" s="25" t="s">
        <v>564</v>
      </c>
      <c r="I371" s="25" t="s">
        <v>1352</v>
      </c>
      <c r="J371" s="25" t="s">
        <v>578</v>
      </c>
      <c r="K371" s="25" t="s">
        <v>1418</v>
      </c>
      <c r="L371" s="25" t="s">
        <v>557</v>
      </c>
      <c r="M371" s="25"/>
      <c r="N371" s="25" t="s">
        <v>1308</v>
      </c>
      <c r="O371" s="25"/>
      <c r="P371" s="25"/>
      <c r="Q371" s="25"/>
      <c r="R371" s="25" t="s">
        <v>558</v>
      </c>
      <c r="S371" s="25" t="s">
        <v>559</v>
      </c>
      <c r="T371" s="25" t="s">
        <v>1425</v>
      </c>
      <c r="U371" s="25"/>
    </row>
    <row r="372" spans="1:21" ht="45" customHeight="1" x14ac:dyDescent="0.25">
      <c r="A372" s="35">
        <v>371</v>
      </c>
      <c r="B372" s="35" t="s">
        <v>385</v>
      </c>
      <c r="C372" s="35" t="s">
        <v>385</v>
      </c>
      <c r="D372" s="45" t="s">
        <v>6</v>
      </c>
      <c r="E372" s="37" t="s">
        <v>1414</v>
      </c>
      <c r="F372" s="37" t="s">
        <v>1426</v>
      </c>
      <c r="G372" s="38" t="s">
        <v>552</v>
      </c>
      <c r="H372" s="37" t="s">
        <v>564</v>
      </c>
      <c r="I372" s="37" t="s">
        <v>1352</v>
      </c>
      <c r="J372" s="37" t="s">
        <v>578</v>
      </c>
      <c r="K372" s="37" t="s">
        <v>1418</v>
      </c>
      <c r="L372" s="37" t="s">
        <v>557</v>
      </c>
      <c r="M372" s="37"/>
      <c r="N372" s="37" t="s">
        <v>1308</v>
      </c>
      <c r="O372" s="37"/>
      <c r="P372" s="37"/>
      <c r="Q372" s="37"/>
      <c r="R372" s="37" t="s">
        <v>558</v>
      </c>
      <c r="S372" s="37" t="s">
        <v>559</v>
      </c>
      <c r="T372" s="37" t="s">
        <v>1427</v>
      </c>
      <c r="U372" s="37" t="s">
        <v>561</v>
      </c>
    </row>
    <row r="373" spans="1:21" ht="45" customHeight="1" x14ac:dyDescent="0.25">
      <c r="A373" s="24">
        <v>372</v>
      </c>
      <c r="B373" s="24" t="s">
        <v>386</v>
      </c>
      <c r="C373" s="24" t="s">
        <v>386</v>
      </c>
      <c r="D373" s="45" t="s">
        <v>6</v>
      </c>
      <c r="E373" s="25" t="s">
        <v>1414</v>
      </c>
      <c r="F373" s="25" t="s">
        <v>1428</v>
      </c>
      <c r="G373" s="24" t="s">
        <v>573</v>
      </c>
      <c r="H373" s="25" t="s">
        <v>564</v>
      </c>
      <c r="I373" s="25" t="s">
        <v>1352</v>
      </c>
      <c r="J373" s="25" t="s">
        <v>578</v>
      </c>
      <c r="K373" s="25" t="s">
        <v>566</v>
      </c>
      <c r="L373" s="25" t="s">
        <v>567</v>
      </c>
      <c r="M373" s="25"/>
      <c r="N373" s="25" t="s">
        <v>1308</v>
      </c>
      <c r="O373" s="25"/>
      <c r="P373" s="25" t="s">
        <v>569</v>
      </c>
      <c r="Q373" s="25"/>
      <c r="R373" s="25" t="s">
        <v>558</v>
      </c>
      <c r="S373" s="25" t="s">
        <v>559</v>
      </c>
      <c r="T373" s="25" t="s">
        <v>1429</v>
      </c>
      <c r="U373" s="25"/>
    </row>
    <row r="374" spans="1:21" ht="45" customHeight="1" x14ac:dyDescent="0.25">
      <c r="A374" s="35">
        <v>373</v>
      </c>
      <c r="B374" s="35" t="s">
        <v>387</v>
      </c>
      <c r="C374" s="35" t="s">
        <v>387</v>
      </c>
      <c r="D374" s="45" t="s">
        <v>6</v>
      </c>
      <c r="E374" s="37" t="s">
        <v>1414</v>
      </c>
      <c r="F374" s="37" t="s">
        <v>1430</v>
      </c>
      <c r="G374" s="35" t="s">
        <v>573</v>
      </c>
      <c r="H374" s="37" t="s">
        <v>564</v>
      </c>
      <c r="I374" s="37" t="s">
        <v>1352</v>
      </c>
      <c r="J374" s="37" t="s">
        <v>578</v>
      </c>
      <c r="K374" s="37" t="s">
        <v>566</v>
      </c>
      <c r="L374" s="37" t="s">
        <v>567</v>
      </c>
      <c r="M374" s="37"/>
      <c r="N374" s="37" t="s">
        <v>1308</v>
      </c>
      <c r="O374" s="37"/>
      <c r="P374" s="37" t="s">
        <v>569</v>
      </c>
      <c r="Q374" s="37"/>
      <c r="R374" s="37" t="s">
        <v>558</v>
      </c>
      <c r="S374" s="37" t="s">
        <v>559</v>
      </c>
      <c r="T374" s="37" t="s">
        <v>1431</v>
      </c>
      <c r="U374" s="37"/>
    </row>
    <row r="375" spans="1:21" ht="45" customHeight="1" x14ac:dyDescent="0.25">
      <c r="A375" s="24">
        <v>374</v>
      </c>
      <c r="B375" s="24" t="s">
        <v>388</v>
      </c>
      <c r="C375" s="24" t="s">
        <v>388</v>
      </c>
      <c r="D375" s="45" t="s">
        <v>6</v>
      </c>
      <c r="E375" s="25" t="s">
        <v>1414</v>
      </c>
      <c r="F375" s="25" t="s">
        <v>1432</v>
      </c>
      <c r="G375" s="24" t="s">
        <v>573</v>
      </c>
      <c r="H375" s="25" t="s">
        <v>564</v>
      </c>
      <c r="I375" s="25" t="s">
        <v>1352</v>
      </c>
      <c r="J375" s="25" t="s">
        <v>578</v>
      </c>
      <c r="K375" s="25" t="s">
        <v>1418</v>
      </c>
      <c r="L375" s="25" t="s">
        <v>557</v>
      </c>
      <c r="M375" s="25"/>
      <c r="N375" s="25" t="s">
        <v>1308</v>
      </c>
      <c r="O375" s="25"/>
      <c r="P375" s="25"/>
      <c r="Q375" s="25"/>
      <c r="R375" s="25" t="s">
        <v>558</v>
      </c>
      <c r="S375" s="25" t="s">
        <v>559</v>
      </c>
      <c r="T375" s="25" t="s">
        <v>1433</v>
      </c>
      <c r="U375" s="25"/>
    </row>
    <row r="376" spans="1:21" ht="45" customHeight="1" x14ac:dyDescent="0.25">
      <c r="A376" s="35">
        <v>375</v>
      </c>
      <c r="B376" s="35" t="s">
        <v>389</v>
      </c>
      <c r="C376" s="35" t="s">
        <v>389</v>
      </c>
      <c r="D376" s="45" t="s">
        <v>6</v>
      </c>
      <c r="E376" s="37" t="s">
        <v>1405</v>
      </c>
      <c r="F376" s="37" t="s">
        <v>1434</v>
      </c>
      <c r="G376" s="35" t="s">
        <v>573</v>
      </c>
      <c r="H376" s="37" t="s">
        <v>564</v>
      </c>
      <c r="I376" s="37" t="s">
        <v>1352</v>
      </c>
      <c r="J376" s="37" t="s">
        <v>708</v>
      </c>
      <c r="K376" s="37" t="s">
        <v>1418</v>
      </c>
      <c r="L376" s="37" t="s">
        <v>557</v>
      </c>
      <c r="M376" s="37"/>
      <c r="N376" s="37" t="s">
        <v>1308</v>
      </c>
      <c r="O376" s="37"/>
      <c r="P376" s="37"/>
      <c r="Q376" s="37"/>
      <c r="R376" s="37" t="s">
        <v>558</v>
      </c>
      <c r="S376" s="37" t="s">
        <v>559</v>
      </c>
      <c r="T376" s="37" t="s">
        <v>1435</v>
      </c>
      <c r="U376" s="37"/>
    </row>
    <row r="377" spans="1:21" ht="45" customHeight="1" x14ac:dyDescent="0.25">
      <c r="A377" s="24">
        <v>376</v>
      </c>
      <c r="B377" s="24" t="s">
        <v>390</v>
      </c>
      <c r="C377" s="24" t="s">
        <v>390</v>
      </c>
      <c r="D377" s="45" t="s">
        <v>6</v>
      </c>
      <c r="E377" s="25" t="s">
        <v>1414</v>
      </c>
      <c r="F377" s="25" t="s">
        <v>1436</v>
      </c>
      <c r="G377" s="24" t="s">
        <v>573</v>
      </c>
      <c r="H377" s="25" t="s">
        <v>564</v>
      </c>
      <c r="I377" s="25" t="s">
        <v>1352</v>
      </c>
      <c r="J377" s="25" t="s">
        <v>578</v>
      </c>
      <c r="K377" s="25" t="s">
        <v>1418</v>
      </c>
      <c r="L377" s="25" t="s">
        <v>557</v>
      </c>
      <c r="M377" s="25"/>
      <c r="N377" s="25" t="s">
        <v>1308</v>
      </c>
      <c r="O377" s="25"/>
      <c r="P377" s="25"/>
      <c r="Q377" s="25"/>
      <c r="R377" s="25" t="s">
        <v>558</v>
      </c>
      <c r="S377" s="25" t="s">
        <v>559</v>
      </c>
      <c r="T377" s="25" t="s">
        <v>1437</v>
      </c>
      <c r="U377" s="25"/>
    </row>
    <row r="378" spans="1:21" ht="45" customHeight="1" x14ac:dyDescent="0.25">
      <c r="A378" s="35">
        <v>377</v>
      </c>
      <c r="B378" s="35" t="s">
        <v>391</v>
      </c>
      <c r="C378" s="35" t="s">
        <v>391</v>
      </c>
      <c r="D378" s="45" t="s">
        <v>6</v>
      </c>
      <c r="E378" s="37" t="s">
        <v>1414</v>
      </c>
      <c r="F378" s="37" t="s">
        <v>1438</v>
      </c>
      <c r="G378" s="35" t="s">
        <v>573</v>
      </c>
      <c r="H378" s="37" t="s">
        <v>564</v>
      </c>
      <c r="I378" s="37" t="s">
        <v>1352</v>
      </c>
      <c r="J378" s="37" t="s">
        <v>578</v>
      </c>
      <c r="K378" s="37" t="s">
        <v>1418</v>
      </c>
      <c r="L378" s="37" t="s">
        <v>557</v>
      </c>
      <c r="M378" s="37"/>
      <c r="N378" s="37" t="s">
        <v>1308</v>
      </c>
      <c r="O378" s="37"/>
      <c r="P378" s="37"/>
      <c r="Q378" s="37"/>
      <c r="R378" s="37" t="s">
        <v>558</v>
      </c>
      <c r="S378" s="37" t="s">
        <v>559</v>
      </c>
      <c r="T378" s="37" t="s">
        <v>1439</v>
      </c>
      <c r="U378" s="37"/>
    </row>
    <row r="379" spans="1:21" ht="45" customHeight="1" x14ac:dyDescent="0.25">
      <c r="A379" s="24">
        <v>378</v>
      </c>
      <c r="B379" s="24" t="s">
        <v>392</v>
      </c>
      <c r="C379" s="24" t="s">
        <v>392</v>
      </c>
      <c r="D379" s="45" t="s">
        <v>6</v>
      </c>
      <c r="E379" s="25" t="s">
        <v>1414</v>
      </c>
      <c r="F379" s="25" t="s">
        <v>1440</v>
      </c>
      <c r="G379" s="26" t="s">
        <v>552</v>
      </c>
      <c r="H379" s="25" t="s">
        <v>564</v>
      </c>
      <c r="I379" s="25" t="s">
        <v>1352</v>
      </c>
      <c r="J379" s="25" t="s">
        <v>578</v>
      </c>
      <c r="K379" s="25" t="s">
        <v>1418</v>
      </c>
      <c r="L379" s="25" t="s">
        <v>557</v>
      </c>
      <c r="M379" s="25"/>
      <c r="N379" s="25" t="s">
        <v>1308</v>
      </c>
      <c r="O379" s="25"/>
      <c r="P379" s="25"/>
      <c r="Q379" s="25"/>
      <c r="R379" s="25" t="s">
        <v>558</v>
      </c>
      <c r="S379" s="25" t="s">
        <v>559</v>
      </c>
      <c r="T379" s="25" t="s">
        <v>1441</v>
      </c>
      <c r="U379" s="25" t="s">
        <v>561</v>
      </c>
    </row>
    <row r="380" spans="1:21" ht="45" customHeight="1" x14ac:dyDescent="0.25">
      <c r="A380" s="35">
        <v>379</v>
      </c>
      <c r="B380" s="35" t="s">
        <v>393</v>
      </c>
      <c r="C380" s="35" t="s">
        <v>393</v>
      </c>
      <c r="D380" s="45" t="s">
        <v>6</v>
      </c>
      <c r="E380" s="37" t="s">
        <v>1414</v>
      </c>
      <c r="F380" s="37" t="s">
        <v>1442</v>
      </c>
      <c r="G380" s="38" t="s">
        <v>552</v>
      </c>
      <c r="H380" s="37" t="s">
        <v>564</v>
      </c>
      <c r="I380" s="37" t="s">
        <v>1352</v>
      </c>
      <c r="J380" s="37" t="s">
        <v>578</v>
      </c>
      <c r="K380" s="37" t="s">
        <v>1418</v>
      </c>
      <c r="L380" s="37" t="s">
        <v>557</v>
      </c>
      <c r="M380" s="37"/>
      <c r="N380" s="37" t="s">
        <v>1308</v>
      </c>
      <c r="O380" s="37"/>
      <c r="P380" s="37"/>
      <c r="Q380" s="37"/>
      <c r="R380" s="37" t="s">
        <v>558</v>
      </c>
      <c r="S380" s="37" t="s">
        <v>559</v>
      </c>
      <c r="T380" s="37" t="s">
        <v>1443</v>
      </c>
      <c r="U380" s="37" t="s">
        <v>561</v>
      </c>
    </row>
    <row r="381" spans="1:21" ht="45" customHeight="1" x14ac:dyDescent="0.25">
      <c r="A381" s="24">
        <v>380</v>
      </c>
      <c r="B381" s="24" t="s">
        <v>394</v>
      </c>
      <c r="C381" s="24" t="s">
        <v>394</v>
      </c>
      <c r="D381" s="45" t="s">
        <v>6</v>
      </c>
      <c r="E381" s="25" t="s">
        <v>1414</v>
      </c>
      <c r="F381" s="25" t="s">
        <v>1444</v>
      </c>
      <c r="G381" s="24" t="s">
        <v>573</v>
      </c>
      <c r="H381" s="25" t="s">
        <v>564</v>
      </c>
      <c r="I381" s="25" t="s">
        <v>1352</v>
      </c>
      <c r="J381" s="25" t="s">
        <v>578</v>
      </c>
      <c r="K381" s="25" t="s">
        <v>1418</v>
      </c>
      <c r="L381" s="25" t="s">
        <v>557</v>
      </c>
      <c r="M381" s="25"/>
      <c r="N381" s="25" t="s">
        <v>1308</v>
      </c>
      <c r="O381" s="25"/>
      <c r="P381" s="25"/>
      <c r="Q381" s="25"/>
      <c r="R381" s="25" t="s">
        <v>558</v>
      </c>
      <c r="S381" s="25" t="s">
        <v>559</v>
      </c>
      <c r="T381" s="25" t="s">
        <v>1445</v>
      </c>
      <c r="U381" s="25"/>
    </row>
    <row r="382" spans="1:21" ht="45" customHeight="1" x14ac:dyDescent="0.25">
      <c r="A382" s="35">
        <v>381</v>
      </c>
      <c r="B382" s="35" t="s">
        <v>395</v>
      </c>
      <c r="C382" s="35" t="s">
        <v>395</v>
      </c>
      <c r="D382" s="45" t="s">
        <v>6</v>
      </c>
      <c r="E382" s="37" t="s">
        <v>990</v>
      </c>
      <c r="F382" s="37" t="s">
        <v>1446</v>
      </c>
      <c r="G382" s="35" t="s">
        <v>573</v>
      </c>
      <c r="H382" s="37" t="s">
        <v>564</v>
      </c>
      <c r="I382" s="37" t="s">
        <v>1352</v>
      </c>
      <c r="J382" s="37" t="s">
        <v>578</v>
      </c>
      <c r="K382" s="37" t="s">
        <v>992</v>
      </c>
      <c r="L382" s="37" t="s">
        <v>696</v>
      </c>
      <c r="M382" s="37"/>
      <c r="N382" s="37" t="s">
        <v>1308</v>
      </c>
      <c r="O382" s="37"/>
      <c r="P382" s="37"/>
      <c r="Q382" s="37" t="s">
        <v>635</v>
      </c>
      <c r="R382" s="37" t="s">
        <v>558</v>
      </c>
      <c r="S382" s="37" t="s">
        <v>559</v>
      </c>
      <c r="T382" s="37" t="s">
        <v>1447</v>
      </c>
      <c r="U382" s="37"/>
    </row>
    <row r="383" spans="1:21" ht="45" customHeight="1" x14ac:dyDescent="0.25">
      <c r="A383" s="24">
        <v>382</v>
      </c>
      <c r="B383" s="24" t="s">
        <v>396</v>
      </c>
      <c r="C383" s="24" t="s">
        <v>396</v>
      </c>
      <c r="D383" s="45" t="s">
        <v>6</v>
      </c>
      <c r="E383" s="25" t="s">
        <v>1414</v>
      </c>
      <c r="F383" s="25" t="s">
        <v>1448</v>
      </c>
      <c r="G383" s="24" t="s">
        <v>573</v>
      </c>
      <c r="H383" s="25" t="s">
        <v>564</v>
      </c>
      <c r="I383" s="25" t="s">
        <v>1352</v>
      </c>
      <c r="J383" s="25" t="s">
        <v>578</v>
      </c>
      <c r="K383" s="25" t="s">
        <v>1418</v>
      </c>
      <c r="L383" s="25" t="s">
        <v>557</v>
      </c>
      <c r="M383" s="25"/>
      <c r="N383" s="25" t="s">
        <v>1308</v>
      </c>
      <c r="O383" s="25"/>
      <c r="P383" s="25"/>
      <c r="Q383" s="25"/>
      <c r="R383" s="25" t="s">
        <v>558</v>
      </c>
      <c r="S383" s="25" t="s">
        <v>559</v>
      </c>
      <c r="T383" s="25" t="s">
        <v>1449</v>
      </c>
      <c r="U383" s="25"/>
    </row>
    <row r="384" spans="1:21" ht="45" customHeight="1" x14ac:dyDescent="0.25">
      <c r="A384" s="35">
        <v>383</v>
      </c>
      <c r="B384" s="35" t="s">
        <v>397</v>
      </c>
      <c r="C384" s="35" t="s">
        <v>397</v>
      </c>
      <c r="D384" s="45" t="s">
        <v>6</v>
      </c>
      <c r="E384" s="37" t="s">
        <v>1414</v>
      </c>
      <c r="F384" s="37" t="s">
        <v>1450</v>
      </c>
      <c r="G384" s="35" t="s">
        <v>573</v>
      </c>
      <c r="H384" s="37" t="s">
        <v>564</v>
      </c>
      <c r="I384" s="37" t="s">
        <v>1352</v>
      </c>
      <c r="J384" s="37" t="s">
        <v>565</v>
      </c>
      <c r="K384" s="37" t="s">
        <v>566</v>
      </c>
      <c r="L384" s="37" t="s">
        <v>567</v>
      </c>
      <c r="M384" s="37"/>
      <c r="N384" s="37" t="s">
        <v>1308</v>
      </c>
      <c r="O384" s="37"/>
      <c r="P384" s="37" t="s">
        <v>569</v>
      </c>
      <c r="Q384" s="37"/>
      <c r="R384" s="37" t="s">
        <v>558</v>
      </c>
      <c r="S384" s="37" t="s">
        <v>559</v>
      </c>
      <c r="T384" s="37" t="s">
        <v>1451</v>
      </c>
      <c r="U384" s="37"/>
    </row>
    <row r="385" spans="1:21" ht="45" customHeight="1" x14ac:dyDescent="0.25">
      <c r="A385" s="24">
        <v>384</v>
      </c>
      <c r="B385" s="24" t="s">
        <v>398</v>
      </c>
      <c r="C385" s="24" t="s">
        <v>398</v>
      </c>
      <c r="D385" s="45" t="s">
        <v>6</v>
      </c>
      <c r="E385" s="25" t="s">
        <v>1414</v>
      </c>
      <c r="F385" s="25" t="s">
        <v>1452</v>
      </c>
      <c r="G385" s="24" t="s">
        <v>573</v>
      </c>
      <c r="H385" s="25" t="s">
        <v>564</v>
      </c>
      <c r="I385" s="25" t="s">
        <v>1352</v>
      </c>
      <c r="J385" s="25" t="s">
        <v>565</v>
      </c>
      <c r="K385" s="25" t="s">
        <v>566</v>
      </c>
      <c r="L385" s="25" t="s">
        <v>567</v>
      </c>
      <c r="M385" s="25"/>
      <c r="N385" s="25" t="s">
        <v>1308</v>
      </c>
      <c r="O385" s="25"/>
      <c r="P385" s="25" t="s">
        <v>569</v>
      </c>
      <c r="Q385" s="25"/>
      <c r="R385" s="25" t="s">
        <v>558</v>
      </c>
      <c r="S385" s="25" t="s">
        <v>559</v>
      </c>
      <c r="T385" s="25" t="s">
        <v>1453</v>
      </c>
      <c r="U385" s="25"/>
    </row>
    <row r="386" spans="1:21" ht="45" customHeight="1" x14ac:dyDescent="0.25">
      <c r="A386" s="35">
        <v>385</v>
      </c>
      <c r="B386" s="35" t="s">
        <v>399</v>
      </c>
      <c r="C386" s="35" t="s">
        <v>399</v>
      </c>
      <c r="D386" s="45" t="s">
        <v>6</v>
      </c>
      <c r="E386" s="37" t="s">
        <v>1414</v>
      </c>
      <c r="F386" s="37" t="s">
        <v>1454</v>
      </c>
      <c r="G386" s="35" t="s">
        <v>573</v>
      </c>
      <c r="H386" s="37" t="s">
        <v>564</v>
      </c>
      <c r="I386" s="37" t="s">
        <v>1352</v>
      </c>
      <c r="J386" s="37" t="s">
        <v>578</v>
      </c>
      <c r="K386" s="37" t="s">
        <v>1418</v>
      </c>
      <c r="L386" s="37" t="s">
        <v>557</v>
      </c>
      <c r="M386" s="37"/>
      <c r="N386" s="37" t="s">
        <v>1308</v>
      </c>
      <c r="O386" s="37"/>
      <c r="P386" s="37"/>
      <c r="Q386" s="37"/>
      <c r="R386" s="37" t="s">
        <v>558</v>
      </c>
      <c r="S386" s="37" t="s">
        <v>559</v>
      </c>
      <c r="T386" s="37" t="s">
        <v>1455</v>
      </c>
      <c r="U386" s="37"/>
    </row>
    <row r="387" spans="1:21" ht="45" customHeight="1" x14ac:dyDescent="0.25">
      <c r="A387" s="24">
        <v>386</v>
      </c>
      <c r="B387" s="24" t="s">
        <v>400</v>
      </c>
      <c r="C387" s="24" t="s">
        <v>400</v>
      </c>
      <c r="D387" s="45" t="s">
        <v>6</v>
      </c>
      <c r="E387" s="25" t="s">
        <v>1414</v>
      </c>
      <c r="F387" s="25" t="s">
        <v>1456</v>
      </c>
      <c r="G387" s="24" t="s">
        <v>573</v>
      </c>
      <c r="H387" s="25" t="s">
        <v>564</v>
      </c>
      <c r="I387" s="25" t="s">
        <v>1352</v>
      </c>
      <c r="J387" s="25" t="s">
        <v>578</v>
      </c>
      <c r="K387" s="25" t="s">
        <v>1418</v>
      </c>
      <c r="L387" s="25" t="s">
        <v>557</v>
      </c>
      <c r="M387" s="25"/>
      <c r="N387" s="25" t="s">
        <v>1308</v>
      </c>
      <c r="O387" s="25"/>
      <c r="P387" s="25"/>
      <c r="Q387" s="25"/>
      <c r="R387" s="25" t="s">
        <v>558</v>
      </c>
      <c r="S387" s="25" t="s">
        <v>559</v>
      </c>
      <c r="T387" s="25" t="s">
        <v>1457</v>
      </c>
      <c r="U387" s="25"/>
    </row>
    <row r="388" spans="1:21" ht="45" customHeight="1" x14ac:dyDescent="0.25">
      <c r="A388" s="35">
        <v>387</v>
      </c>
      <c r="B388" s="35" t="s">
        <v>401</v>
      </c>
      <c r="C388" s="35" t="s">
        <v>401</v>
      </c>
      <c r="D388" s="45" t="s">
        <v>6</v>
      </c>
      <c r="E388" s="37" t="s">
        <v>1414</v>
      </c>
      <c r="F388" s="37" t="s">
        <v>1458</v>
      </c>
      <c r="G388" s="35" t="s">
        <v>573</v>
      </c>
      <c r="H388" s="37" t="s">
        <v>564</v>
      </c>
      <c r="I388" s="37" t="s">
        <v>1352</v>
      </c>
      <c r="J388" s="37" t="s">
        <v>578</v>
      </c>
      <c r="K388" s="37" t="s">
        <v>1418</v>
      </c>
      <c r="L388" s="37" t="s">
        <v>557</v>
      </c>
      <c r="M388" s="37"/>
      <c r="N388" s="37" t="s">
        <v>1308</v>
      </c>
      <c r="O388" s="37"/>
      <c r="P388" s="37"/>
      <c r="Q388" s="37"/>
      <c r="R388" s="37" t="s">
        <v>558</v>
      </c>
      <c r="S388" s="37" t="s">
        <v>559</v>
      </c>
      <c r="T388" s="37" t="s">
        <v>1459</v>
      </c>
      <c r="U388" s="37"/>
    </row>
    <row r="389" spans="1:21" ht="45" customHeight="1" x14ac:dyDescent="0.25">
      <c r="A389" s="24">
        <v>388</v>
      </c>
      <c r="B389" s="24" t="s">
        <v>402</v>
      </c>
      <c r="C389" s="24" t="s">
        <v>402</v>
      </c>
      <c r="D389" s="45" t="s">
        <v>6</v>
      </c>
      <c r="E389" s="25" t="s">
        <v>1414</v>
      </c>
      <c r="F389" s="25" t="s">
        <v>1460</v>
      </c>
      <c r="G389" s="24" t="s">
        <v>573</v>
      </c>
      <c r="H389" s="25" t="s">
        <v>564</v>
      </c>
      <c r="I389" s="25" t="s">
        <v>1352</v>
      </c>
      <c r="J389" s="25" t="s">
        <v>565</v>
      </c>
      <c r="K389" s="25" t="s">
        <v>566</v>
      </c>
      <c r="L389" s="25" t="s">
        <v>567</v>
      </c>
      <c r="M389" s="25"/>
      <c r="N389" s="25" t="s">
        <v>1308</v>
      </c>
      <c r="O389" s="25"/>
      <c r="P389" s="25" t="s">
        <v>569</v>
      </c>
      <c r="Q389" s="25"/>
      <c r="R389" s="25" t="s">
        <v>558</v>
      </c>
      <c r="S389" s="25" t="s">
        <v>559</v>
      </c>
      <c r="T389" s="25" t="s">
        <v>1461</v>
      </c>
      <c r="U389" s="25"/>
    </row>
    <row r="390" spans="1:21" ht="45" customHeight="1" x14ac:dyDescent="0.25">
      <c r="A390" s="35">
        <v>389</v>
      </c>
      <c r="B390" s="35" t="s">
        <v>403</v>
      </c>
      <c r="C390" s="35" t="s">
        <v>403</v>
      </c>
      <c r="D390" s="45" t="s">
        <v>6</v>
      </c>
      <c r="E390" s="37" t="s">
        <v>786</v>
      </c>
      <c r="F390" s="37" t="s">
        <v>1462</v>
      </c>
      <c r="G390" s="35" t="s">
        <v>573</v>
      </c>
      <c r="H390" s="37" t="s">
        <v>564</v>
      </c>
      <c r="I390" s="37" t="s">
        <v>1352</v>
      </c>
      <c r="J390" s="37" t="s">
        <v>578</v>
      </c>
      <c r="K390" s="37" t="s">
        <v>1418</v>
      </c>
      <c r="L390" s="37" t="s">
        <v>557</v>
      </c>
      <c r="M390" s="37"/>
      <c r="N390" s="37" t="s">
        <v>1308</v>
      </c>
      <c r="O390" s="37"/>
      <c r="P390" s="37"/>
      <c r="Q390" s="37"/>
      <c r="R390" s="37" t="s">
        <v>558</v>
      </c>
      <c r="S390" s="37" t="s">
        <v>559</v>
      </c>
      <c r="T390" s="37" t="s">
        <v>1463</v>
      </c>
      <c r="U390" s="37"/>
    </row>
    <row r="391" spans="1:21" ht="45" customHeight="1" x14ac:dyDescent="0.25">
      <c r="A391" s="24">
        <v>390</v>
      </c>
      <c r="B391" s="24" t="s">
        <v>404</v>
      </c>
      <c r="C391" s="24" t="s">
        <v>404</v>
      </c>
      <c r="D391" s="45" t="s">
        <v>6</v>
      </c>
      <c r="E391" s="25" t="s">
        <v>550</v>
      </c>
      <c r="F391" s="25" t="s">
        <v>1464</v>
      </c>
      <c r="G391" s="26" t="s">
        <v>552</v>
      </c>
      <c r="H391" s="25" t="s">
        <v>553</v>
      </c>
      <c r="I391" s="25" t="s">
        <v>1352</v>
      </c>
      <c r="J391" s="25" t="s">
        <v>555</v>
      </c>
      <c r="K391" s="25" t="s">
        <v>556</v>
      </c>
      <c r="L391" s="25" t="s">
        <v>557</v>
      </c>
      <c r="M391" s="25"/>
      <c r="N391" s="25"/>
      <c r="O391" s="25"/>
      <c r="P391" s="25"/>
      <c r="Q391" s="25"/>
      <c r="R391" s="25" t="s">
        <v>558</v>
      </c>
      <c r="S391" s="25" t="s">
        <v>559</v>
      </c>
      <c r="T391" s="25" t="s">
        <v>1465</v>
      </c>
      <c r="U391" s="25" t="s">
        <v>561</v>
      </c>
    </row>
    <row r="392" spans="1:21" ht="45" customHeight="1" x14ac:dyDescent="0.25">
      <c r="A392" s="35">
        <v>391</v>
      </c>
      <c r="B392" s="35" t="s">
        <v>405</v>
      </c>
      <c r="C392" s="35" t="s">
        <v>405</v>
      </c>
      <c r="D392" s="45" t="s">
        <v>6</v>
      </c>
      <c r="E392" s="37" t="s">
        <v>550</v>
      </c>
      <c r="F392" s="37" t="s">
        <v>1466</v>
      </c>
      <c r="G392" s="38" t="s">
        <v>552</v>
      </c>
      <c r="H392" s="37" t="s">
        <v>553</v>
      </c>
      <c r="I392" s="37" t="s">
        <v>1352</v>
      </c>
      <c r="J392" s="37" t="s">
        <v>555</v>
      </c>
      <c r="K392" s="37" t="s">
        <v>556</v>
      </c>
      <c r="L392" s="37" t="s">
        <v>557</v>
      </c>
      <c r="M392" s="37"/>
      <c r="N392" s="37"/>
      <c r="O392" s="37"/>
      <c r="P392" s="37"/>
      <c r="Q392" s="37"/>
      <c r="R392" s="37" t="s">
        <v>558</v>
      </c>
      <c r="S392" s="37" t="s">
        <v>559</v>
      </c>
      <c r="T392" s="37" t="s">
        <v>1467</v>
      </c>
      <c r="U392" s="37" t="s">
        <v>561</v>
      </c>
    </row>
    <row r="393" spans="1:21" ht="45" customHeight="1" x14ac:dyDescent="0.25">
      <c r="A393" s="24">
        <v>392</v>
      </c>
      <c r="B393" s="24" t="s">
        <v>406</v>
      </c>
      <c r="C393" s="24" t="s">
        <v>406</v>
      </c>
      <c r="D393" s="45" t="s">
        <v>6</v>
      </c>
      <c r="E393" s="25" t="s">
        <v>550</v>
      </c>
      <c r="F393" s="25" t="s">
        <v>1468</v>
      </c>
      <c r="G393" s="24" t="s">
        <v>573</v>
      </c>
      <c r="H393" s="25" t="s">
        <v>564</v>
      </c>
      <c r="I393" s="25" t="s">
        <v>1352</v>
      </c>
      <c r="J393" s="25" t="s">
        <v>578</v>
      </c>
      <c r="K393" s="25" t="s">
        <v>579</v>
      </c>
      <c r="L393" s="25" t="s">
        <v>696</v>
      </c>
      <c r="M393" s="25"/>
      <c r="N393" s="25" t="s">
        <v>580</v>
      </c>
      <c r="O393" s="25"/>
      <c r="P393" s="25"/>
      <c r="Q393" s="25" t="s">
        <v>635</v>
      </c>
      <c r="R393" s="25" t="s">
        <v>558</v>
      </c>
      <c r="S393" s="25" t="s">
        <v>559</v>
      </c>
      <c r="T393" s="25" t="s">
        <v>1469</v>
      </c>
      <c r="U393" s="25"/>
    </row>
    <row r="394" spans="1:21" ht="45" customHeight="1" x14ac:dyDescent="0.25">
      <c r="A394" s="35">
        <v>393</v>
      </c>
      <c r="B394" s="35" t="s">
        <v>407</v>
      </c>
      <c r="C394" s="35" t="s">
        <v>407</v>
      </c>
      <c r="D394" s="45" t="s">
        <v>6</v>
      </c>
      <c r="E394" s="37" t="s">
        <v>550</v>
      </c>
      <c r="F394" s="37" t="s">
        <v>1470</v>
      </c>
      <c r="G394" s="35" t="s">
        <v>573</v>
      </c>
      <c r="H394" s="37" t="s">
        <v>564</v>
      </c>
      <c r="I394" s="37" t="s">
        <v>1352</v>
      </c>
      <c r="J394" s="37" t="s">
        <v>578</v>
      </c>
      <c r="K394" s="37" t="s">
        <v>556</v>
      </c>
      <c r="L394" s="37" t="s">
        <v>557</v>
      </c>
      <c r="M394" s="37"/>
      <c r="N394" s="37"/>
      <c r="O394" s="37"/>
      <c r="P394" s="37"/>
      <c r="Q394" s="37"/>
      <c r="R394" s="37" t="s">
        <v>558</v>
      </c>
      <c r="S394" s="37" t="s">
        <v>559</v>
      </c>
      <c r="T394" s="37" t="s">
        <v>1471</v>
      </c>
      <c r="U394" s="37"/>
    </row>
    <row r="395" spans="1:21" ht="45" customHeight="1" x14ac:dyDescent="0.25">
      <c r="A395" s="24">
        <v>394</v>
      </c>
      <c r="B395" s="24" t="s">
        <v>408</v>
      </c>
      <c r="C395" s="24" t="s">
        <v>408</v>
      </c>
      <c r="D395" s="45" t="s">
        <v>6</v>
      </c>
      <c r="E395" s="25" t="s">
        <v>550</v>
      </c>
      <c r="F395" s="25" t="s">
        <v>1472</v>
      </c>
      <c r="G395" s="24" t="s">
        <v>573</v>
      </c>
      <c r="H395" s="25" t="s">
        <v>553</v>
      </c>
      <c r="I395" s="25" t="s">
        <v>1352</v>
      </c>
      <c r="J395" s="25" t="s">
        <v>555</v>
      </c>
      <c r="K395" s="25" t="s">
        <v>556</v>
      </c>
      <c r="L395" s="25" t="s">
        <v>557</v>
      </c>
      <c r="M395" s="25"/>
      <c r="N395" s="25"/>
      <c r="O395" s="25"/>
      <c r="P395" s="25"/>
      <c r="Q395" s="25"/>
      <c r="R395" s="25" t="s">
        <v>558</v>
      </c>
      <c r="S395" s="25" t="s">
        <v>559</v>
      </c>
      <c r="T395" s="25" t="s">
        <v>1473</v>
      </c>
      <c r="U395" s="25"/>
    </row>
    <row r="396" spans="1:21" ht="45" customHeight="1" x14ac:dyDescent="0.25">
      <c r="A396" s="35">
        <v>395</v>
      </c>
      <c r="B396" s="35" t="s">
        <v>409</v>
      </c>
      <c r="C396" s="35" t="s">
        <v>409</v>
      </c>
      <c r="D396" s="45" t="s">
        <v>6</v>
      </c>
      <c r="E396" s="37" t="s">
        <v>550</v>
      </c>
      <c r="F396" s="37" t="s">
        <v>1474</v>
      </c>
      <c r="G396" s="35" t="s">
        <v>573</v>
      </c>
      <c r="H396" s="37" t="s">
        <v>610</v>
      </c>
      <c r="I396" s="37" t="s">
        <v>1352</v>
      </c>
      <c r="J396" s="37" t="s">
        <v>578</v>
      </c>
      <c r="K396" s="37" t="s">
        <v>556</v>
      </c>
      <c r="L396" s="37" t="s">
        <v>557</v>
      </c>
      <c r="M396" s="37"/>
      <c r="N396" s="37"/>
      <c r="O396" s="37"/>
      <c r="P396" s="37"/>
      <c r="Q396" s="37"/>
      <c r="R396" s="37" t="s">
        <v>558</v>
      </c>
      <c r="S396" s="37" t="s">
        <v>559</v>
      </c>
      <c r="T396" s="37" t="s">
        <v>1475</v>
      </c>
      <c r="U396" s="37"/>
    </row>
    <row r="397" spans="1:21" ht="45" customHeight="1" x14ac:dyDescent="0.25">
      <c r="A397" s="24">
        <v>396</v>
      </c>
      <c r="B397" s="24" t="s">
        <v>410</v>
      </c>
      <c r="C397" s="24" t="s">
        <v>410</v>
      </c>
      <c r="D397" s="45" t="s">
        <v>6</v>
      </c>
      <c r="E397" s="25" t="s">
        <v>550</v>
      </c>
      <c r="F397" s="25" t="s">
        <v>1476</v>
      </c>
      <c r="G397" s="26" t="s">
        <v>552</v>
      </c>
      <c r="H397" s="25" t="s">
        <v>553</v>
      </c>
      <c r="I397" s="25" t="s">
        <v>1352</v>
      </c>
      <c r="J397" s="25" t="s">
        <v>555</v>
      </c>
      <c r="K397" s="25" t="s">
        <v>556</v>
      </c>
      <c r="L397" s="25" t="s">
        <v>557</v>
      </c>
      <c r="M397" s="25"/>
      <c r="N397" s="25"/>
      <c r="O397" s="25"/>
      <c r="P397" s="25"/>
      <c r="Q397" s="25"/>
      <c r="R397" s="25" t="s">
        <v>558</v>
      </c>
      <c r="S397" s="25" t="s">
        <v>559</v>
      </c>
      <c r="T397" s="25" t="s">
        <v>1477</v>
      </c>
      <c r="U397" s="25" t="s">
        <v>561</v>
      </c>
    </row>
    <row r="398" spans="1:21" ht="45" customHeight="1" x14ac:dyDescent="0.25">
      <c r="A398" s="35">
        <v>397</v>
      </c>
      <c r="B398" s="35" t="s">
        <v>411</v>
      </c>
      <c r="C398" s="35" t="s">
        <v>411</v>
      </c>
      <c r="D398" s="45" t="s">
        <v>6</v>
      </c>
      <c r="E398" s="37" t="s">
        <v>550</v>
      </c>
      <c r="F398" s="37" t="s">
        <v>1478</v>
      </c>
      <c r="G398" s="35" t="s">
        <v>573</v>
      </c>
      <c r="H398" s="37" t="s">
        <v>553</v>
      </c>
      <c r="I398" s="37" t="s">
        <v>1352</v>
      </c>
      <c r="J398" s="37" t="s">
        <v>555</v>
      </c>
      <c r="K398" s="37" t="s">
        <v>579</v>
      </c>
      <c r="L398" s="37" t="s">
        <v>557</v>
      </c>
      <c r="M398" s="37"/>
      <c r="N398" s="37" t="s">
        <v>580</v>
      </c>
      <c r="O398" s="37"/>
      <c r="P398" s="37"/>
      <c r="Q398" s="37"/>
      <c r="R398" s="37" t="s">
        <v>558</v>
      </c>
      <c r="S398" s="37" t="s">
        <v>559</v>
      </c>
      <c r="T398" s="37" t="s">
        <v>1479</v>
      </c>
      <c r="U398" s="37"/>
    </row>
    <row r="399" spans="1:21" ht="45" customHeight="1" x14ac:dyDescent="0.25">
      <c r="A399" s="24">
        <v>398</v>
      </c>
      <c r="B399" s="24" t="s">
        <v>412</v>
      </c>
      <c r="C399" s="24" t="s">
        <v>412</v>
      </c>
      <c r="D399" s="45" t="s">
        <v>6</v>
      </c>
      <c r="E399" s="25" t="s">
        <v>1020</v>
      </c>
      <c r="F399" s="25" t="s">
        <v>1480</v>
      </c>
      <c r="G399" s="24" t="s">
        <v>573</v>
      </c>
      <c r="H399" s="25" t="s">
        <v>553</v>
      </c>
      <c r="I399" s="25" t="s">
        <v>1352</v>
      </c>
      <c r="J399" s="25" t="s">
        <v>555</v>
      </c>
      <c r="K399" s="25" t="s">
        <v>556</v>
      </c>
      <c r="L399" s="25" t="s">
        <v>557</v>
      </c>
      <c r="M399" s="25"/>
      <c r="N399" s="25"/>
      <c r="O399" s="25"/>
      <c r="P399" s="25"/>
      <c r="Q399" s="25"/>
      <c r="R399" s="25" t="s">
        <v>558</v>
      </c>
      <c r="S399" s="25" t="s">
        <v>559</v>
      </c>
      <c r="T399" s="25" t="s">
        <v>1481</v>
      </c>
      <c r="U399" s="25"/>
    </row>
    <row r="400" spans="1:21" ht="45" customHeight="1" x14ac:dyDescent="0.25">
      <c r="A400" s="35">
        <v>399</v>
      </c>
      <c r="B400" s="35" t="s">
        <v>413</v>
      </c>
      <c r="C400" s="35" t="s">
        <v>413</v>
      </c>
      <c r="D400" s="45" t="s">
        <v>6</v>
      </c>
      <c r="E400" s="37" t="s">
        <v>550</v>
      </c>
      <c r="F400" s="37" t="s">
        <v>1482</v>
      </c>
      <c r="G400" s="35" t="s">
        <v>573</v>
      </c>
      <c r="H400" s="37" t="s">
        <v>553</v>
      </c>
      <c r="I400" s="37" t="s">
        <v>1352</v>
      </c>
      <c r="J400" s="37" t="s">
        <v>555</v>
      </c>
      <c r="K400" s="37" t="s">
        <v>556</v>
      </c>
      <c r="L400" s="37" t="s">
        <v>557</v>
      </c>
      <c r="M400" s="37"/>
      <c r="N400" s="37"/>
      <c r="O400" s="37"/>
      <c r="P400" s="37"/>
      <c r="Q400" s="37"/>
      <c r="R400" s="37" t="s">
        <v>558</v>
      </c>
      <c r="S400" s="37" t="s">
        <v>559</v>
      </c>
      <c r="T400" s="37" t="s">
        <v>1483</v>
      </c>
      <c r="U400" s="37"/>
    </row>
    <row r="401" spans="1:21" ht="45" customHeight="1" x14ac:dyDescent="0.25">
      <c r="A401" s="24">
        <v>400</v>
      </c>
      <c r="B401" s="24" t="s">
        <v>414</v>
      </c>
      <c r="C401" s="24" t="s">
        <v>414</v>
      </c>
      <c r="D401" s="45" t="s">
        <v>6</v>
      </c>
      <c r="E401" s="25" t="s">
        <v>550</v>
      </c>
      <c r="F401" s="25" t="s">
        <v>1484</v>
      </c>
      <c r="G401" s="26" t="s">
        <v>552</v>
      </c>
      <c r="H401" s="25" t="s">
        <v>553</v>
      </c>
      <c r="I401" s="25" t="s">
        <v>1352</v>
      </c>
      <c r="J401" s="25" t="s">
        <v>555</v>
      </c>
      <c r="K401" s="25" t="s">
        <v>579</v>
      </c>
      <c r="L401" s="25" t="s">
        <v>557</v>
      </c>
      <c r="M401" s="25"/>
      <c r="N401" s="25"/>
      <c r="O401" s="25"/>
      <c r="P401" s="25"/>
      <c r="Q401" s="25"/>
      <c r="R401" s="25" t="s">
        <v>558</v>
      </c>
      <c r="S401" s="25" t="s">
        <v>559</v>
      </c>
      <c r="T401" s="25" t="s">
        <v>1485</v>
      </c>
      <c r="U401" s="25" t="s">
        <v>561</v>
      </c>
    </row>
    <row r="402" spans="1:21" ht="45" customHeight="1" x14ac:dyDescent="0.25">
      <c r="A402" s="35">
        <v>401</v>
      </c>
      <c r="B402" s="35" t="s">
        <v>415</v>
      </c>
      <c r="C402" s="35" t="s">
        <v>415</v>
      </c>
      <c r="D402" s="45" t="s">
        <v>6</v>
      </c>
      <c r="E402" s="37" t="s">
        <v>550</v>
      </c>
      <c r="F402" s="37" t="s">
        <v>1486</v>
      </c>
      <c r="G402" s="35" t="s">
        <v>573</v>
      </c>
      <c r="H402" s="37" t="s">
        <v>564</v>
      </c>
      <c r="I402" s="37" t="s">
        <v>1352</v>
      </c>
      <c r="J402" s="37" t="s">
        <v>578</v>
      </c>
      <c r="K402" s="37" t="s">
        <v>556</v>
      </c>
      <c r="L402" s="37" t="s">
        <v>696</v>
      </c>
      <c r="M402" s="37"/>
      <c r="N402" s="37"/>
      <c r="O402" s="37"/>
      <c r="P402" s="37"/>
      <c r="Q402" s="37" t="s">
        <v>635</v>
      </c>
      <c r="R402" s="37" t="s">
        <v>558</v>
      </c>
      <c r="S402" s="37" t="s">
        <v>559</v>
      </c>
      <c r="T402" s="37" t="s">
        <v>1487</v>
      </c>
      <c r="U402" s="37"/>
    </row>
    <row r="403" spans="1:21" ht="45" customHeight="1" x14ac:dyDescent="0.25">
      <c r="A403" s="24">
        <v>402</v>
      </c>
      <c r="B403" s="24" t="s">
        <v>416</v>
      </c>
      <c r="C403" s="24" t="s">
        <v>416</v>
      </c>
      <c r="D403" s="45" t="s">
        <v>6</v>
      </c>
      <c r="E403" s="25" t="s">
        <v>550</v>
      </c>
      <c r="F403" s="25" t="s">
        <v>1488</v>
      </c>
      <c r="G403" s="24" t="s">
        <v>573</v>
      </c>
      <c r="H403" s="25" t="s">
        <v>553</v>
      </c>
      <c r="I403" s="25" t="s">
        <v>1352</v>
      </c>
      <c r="J403" s="25" t="s">
        <v>555</v>
      </c>
      <c r="K403" s="25" t="s">
        <v>556</v>
      </c>
      <c r="L403" s="25" t="s">
        <v>557</v>
      </c>
      <c r="M403" s="25"/>
      <c r="N403" s="25"/>
      <c r="O403" s="25"/>
      <c r="P403" s="25"/>
      <c r="Q403" s="25"/>
      <c r="R403" s="25" t="s">
        <v>558</v>
      </c>
      <c r="S403" s="25" t="s">
        <v>559</v>
      </c>
      <c r="T403" s="25" t="s">
        <v>1489</v>
      </c>
      <c r="U403" s="25"/>
    </row>
    <row r="404" spans="1:21" ht="45" customHeight="1" x14ac:dyDescent="0.25">
      <c r="A404" s="35">
        <v>403</v>
      </c>
      <c r="B404" s="35" t="s">
        <v>417</v>
      </c>
      <c r="C404" s="35" t="s">
        <v>417</v>
      </c>
      <c r="D404" s="45" t="s">
        <v>6</v>
      </c>
      <c r="E404" s="37" t="s">
        <v>550</v>
      </c>
      <c r="F404" s="37" t="s">
        <v>1490</v>
      </c>
      <c r="G404" s="35" t="s">
        <v>573</v>
      </c>
      <c r="H404" s="37" t="s">
        <v>553</v>
      </c>
      <c r="I404" s="37" t="s">
        <v>1352</v>
      </c>
      <c r="J404" s="37" t="s">
        <v>555</v>
      </c>
      <c r="K404" s="37" t="s">
        <v>556</v>
      </c>
      <c r="L404" s="37" t="s">
        <v>557</v>
      </c>
      <c r="M404" s="37"/>
      <c r="N404" s="37"/>
      <c r="O404" s="37"/>
      <c r="P404" s="37"/>
      <c r="Q404" s="37"/>
      <c r="R404" s="37" t="s">
        <v>558</v>
      </c>
      <c r="S404" s="37" t="s">
        <v>559</v>
      </c>
      <c r="T404" s="37" t="s">
        <v>1491</v>
      </c>
      <c r="U404" s="37"/>
    </row>
    <row r="405" spans="1:21" ht="45" customHeight="1" x14ac:dyDescent="0.25">
      <c r="A405" s="24">
        <v>404</v>
      </c>
      <c r="B405" s="24" t="s">
        <v>418</v>
      </c>
      <c r="C405" s="24" t="s">
        <v>418</v>
      </c>
      <c r="D405" s="45" t="s">
        <v>6</v>
      </c>
      <c r="E405" s="25" t="s">
        <v>550</v>
      </c>
      <c r="F405" s="25" t="s">
        <v>1492</v>
      </c>
      <c r="G405" s="24" t="s">
        <v>573</v>
      </c>
      <c r="H405" s="25" t="s">
        <v>564</v>
      </c>
      <c r="I405" s="25" t="s">
        <v>1352</v>
      </c>
      <c r="J405" s="25" t="s">
        <v>578</v>
      </c>
      <c r="K405" s="25" t="s">
        <v>556</v>
      </c>
      <c r="L405" s="25" t="s">
        <v>557</v>
      </c>
      <c r="M405" s="25"/>
      <c r="N405" s="25"/>
      <c r="O405" s="25"/>
      <c r="P405" s="25"/>
      <c r="Q405" s="25"/>
      <c r="R405" s="25" t="s">
        <v>558</v>
      </c>
      <c r="S405" s="25" t="s">
        <v>559</v>
      </c>
      <c r="T405" s="25" t="s">
        <v>1493</v>
      </c>
      <c r="U405" s="25"/>
    </row>
    <row r="406" spans="1:21" ht="45" customHeight="1" x14ac:dyDescent="0.25">
      <c r="A406" s="35">
        <v>405</v>
      </c>
      <c r="B406" s="35" t="s">
        <v>419</v>
      </c>
      <c r="C406" s="35" t="s">
        <v>419</v>
      </c>
      <c r="D406" s="45" t="s">
        <v>6</v>
      </c>
      <c r="E406" s="37" t="s">
        <v>1061</v>
      </c>
      <c r="F406" s="37" t="s">
        <v>1494</v>
      </c>
      <c r="G406" s="35" t="s">
        <v>573</v>
      </c>
      <c r="H406" s="37" t="s">
        <v>610</v>
      </c>
      <c r="I406" s="37" t="s">
        <v>1352</v>
      </c>
      <c r="J406" s="37" t="s">
        <v>578</v>
      </c>
      <c r="K406" s="37" t="s">
        <v>566</v>
      </c>
      <c r="L406" s="37" t="s">
        <v>567</v>
      </c>
      <c r="M406" s="37"/>
      <c r="N406" s="37" t="s">
        <v>580</v>
      </c>
      <c r="O406" s="37"/>
      <c r="P406" s="37" t="s">
        <v>569</v>
      </c>
      <c r="Q406" s="37"/>
      <c r="R406" s="37" t="s">
        <v>558</v>
      </c>
      <c r="S406" s="37" t="s">
        <v>559</v>
      </c>
      <c r="T406" s="37" t="s">
        <v>1495</v>
      </c>
      <c r="U406" s="37"/>
    </row>
    <row r="407" spans="1:21" ht="45" customHeight="1" x14ac:dyDescent="0.25">
      <c r="A407" s="24">
        <v>406</v>
      </c>
      <c r="B407" s="24" t="s">
        <v>420</v>
      </c>
      <c r="C407" s="24" t="s">
        <v>420</v>
      </c>
      <c r="D407" s="45" t="s">
        <v>6</v>
      </c>
      <c r="E407" s="25" t="s">
        <v>550</v>
      </c>
      <c r="F407" s="25" t="s">
        <v>1496</v>
      </c>
      <c r="G407" s="26" t="s">
        <v>552</v>
      </c>
      <c r="H407" s="25" t="s">
        <v>553</v>
      </c>
      <c r="I407" s="25" t="s">
        <v>1352</v>
      </c>
      <c r="J407" s="25" t="s">
        <v>555</v>
      </c>
      <c r="K407" s="25" t="s">
        <v>556</v>
      </c>
      <c r="L407" s="25" t="s">
        <v>557</v>
      </c>
      <c r="M407" s="25"/>
      <c r="N407" s="25"/>
      <c r="O407" s="25"/>
      <c r="P407" s="25"/>
      <c r="Q407" s="25"/>
      <c r="R407" s="25" t="s">
        <v>558</v>
      </c>
      <c r="S407" s="25" t="s">
        <v>559</v>
      </c>
      <c r="T407" s="25" t="s">
        <v>1497</v>
      </c>
      <c r="U407" s="25" t="s">
        <v>561</v>
      </c>
    </row>
    <row r="408" spans="1:21" ht="45" customHeight="1" x14ac:dyDescent="0.25">
      <c r="A408" s="35">
        <v>407</v>
      </c>
      <c r="B408" s="35" t="s">
        <v>421</v>
      </c>
      <c r="C408" s="35" t="s">
        <v>421</v>
      </c>
      <c r="D408" s="45" t="s">
        <v>6</v>
      </c>
      <c r="E408" s="37" t="s">
        <v>1061</v>
      </c>
      <c r="F408" s="37" t="s">
        <v>1498</v>
      </c>
      <c r="G408" s="35" t="s">
        <v>573</v>
      </c>
      <c r="H408" s="37" t="s">
        <v>610</v>
      </c>
      <c r="I408" s="37" t="s">
        <v>1352</v>
      </c>
      <c r="J408" s="37" t="s">
        <v>578</v>
      </c>
      <c r="K408" s="37" t="s">
        <v>566</v>
      </c>
      <c r="L408" s="37" t="s">
        <v>567</v>
      </c>
      <c r="M408" s="37"/>
      <c r="N408" s="37"/>
      <c r="O408" s="37"/>
      <c r="P408" s="37" t="s">
        <v>569</v>
      </c>
      <c r="Q408" s="37"/>
      <c r="R408" s="37" t="s">
        <v>558</v>
      </c>
      <c r="S408" s="37" t="s">
        <v>559</v>
      </c>
      <c r="T408" s="37" t="s">
        <v>1499</v>
      </c>
      <c r="U408" s="37"/>
    </row>
    <row r="409" spans="1:21" ht="45" customHeight="1" x14ac:dyDescent="0.25">
      <c r="A409" s="24">
        <v>408</v>
      </c>
      <c r="B409" s="24" t="s">
        <v>422</v>
      </c>
      <c r="C409" s="24" t="s">
        <v>422</v>
      </c>
      <c r="D409" s="45" t="s">
        <v>6</v>
      </c>
      <c r="E409" s="25" t="s">
        <v>550</v>
      </c>
      <c r="F409" s="25" t="s">
        <v>1500</v>
      </c>
      <c r="G409" s="24" t="s">
        <v>573</v>
      </c>
      <c r="H409" s="25" t="s">
        <v>553</v>
      </c>
      <c r="I409" s="25" t="s">
        <v>1352</v>
      </c>
      <c r="J409" s="25" t="s">
        <v>555</v>
      </c>
      <c r="K409" s="25" t="s">
        <v>556</v>
      </c>
      <c r="L409" s="25" t="s">
        <v>557</v>
      </c>
      <c r="M409" s="25"/>
      <c r="N409" s="25"/>
      <c r="O409" s="25"/>
      <c r="P409" s="25"/>
      <c r="Q409" s="25"/>
      <c r="R409" s="25" t="s">
        <v>558</v>
      </c>
      <c r="S409" s="25" t="s">
        <v>559</v>
      </c>
      <c r="T409" s="25" t="s">
        <v>1501</v>
      </c>
      <c r="U409" s="25"/>
    </row>
    <row r="410" spans="1:21" ht="45" customHeight="1" x14ac:dyDescent="0.25">
      <c r="A410" s="35">
        <v>409</v>
      </c>
      <c r="B410" s="35" t="s">
        <v>423</v>
      </c>
      <c r="C410" s="35" t="s">
        <v>423</v>
      </c>
      <c r="D410" s="45" t="s">
        <v>6</v>
      </c>
      <c r="E410" s="37" t="s">
        <v>550</v>
      </c>
      <c r="F410" s="37" t="s">
        <v>1502</v>
      </c>
      <c r="G410" s="35" t="s">
        <v>573</v>
      </c>
      <c r="H410" s="37" t="s">
        <v>610</v>
      </c>
      <c r="I410" s="37" t="s">
        <v>1352</v>
      </c>
      <c r="J410" s="37" t="s">
        <v>578</v>
      </c>
      <c r="K410" s="37" t="s">
        <v>566</v>
      </c>
      <c r="L410" s="37" t="s">
        <v>567</v>
      </c>
      <c r="M410" s="37"/>
      <c r="N410" s="37"/>
      <c r="O410" s="37"/>
      <c r="P410" s="37" t="s">
        <v>569</v>
      </c>
      <c r="Q410" s="37"/>
      <c r="R410" s="37" t="s">
        <v>558</v>
      </c>
      <c r="S410" s="37" t="s">
        <v>559</v>
      </c>
      <c r="T410" s="37" t="s">
        <v>1503</v>
      </c>
      <c r="U410" s="37"/>
    </row>
    <row r="411" spans="1:21" ht="45" customHeight="1" x14ac:dyDescent="0.25">
      <c r="A411" s="24">
        <v>410</v>
      </c>
      <c r="B411" s="24" t="s">
        <v>424</v>
      </c>
      <c r="C411" s="24" t="s">
        <v>424</v>
      </c>
      <c r="D411" s="45" t="s">
        <v>6</v>
      </c>
      <c r="E411" s="25" t="s">
        <v>1074</v>
      </c>
      <c r="F411" s="25" t="s">
        <v>1504</v>
      </c>
      <c r="G411" s="24" t="s">
        <v>573</v>
      </c>
      <c r="H411" s="25" t="s">
        <v>610</v>
      </c>
      <c r="I411" s="25" t="s">
        <v>1352</v>
      </c>
      <c r="J411" s="25" t="s">
        <v>578</v>
      </c>
      <c r="K411" s="25" t="s">
        <v>1078</v>
      </c>
      <c r="L411" s="25" t="s">
        <v>567</v>
      </c>
      <c r="M411" s="25"/>
      <c r="N411" s="25"/>
      <c r="O411" s="25"/>
      <c r="P411" s="25" t="s">
        <v>569</v>
      </c>
      <c r="Q411" s="25"/>
      <c r="R411" s="25" t="s">
        <v>558</v>
      </c>
      <c r="S411" s="25" t="s">
        <v>559</v>
      </c>
      <c r="T411" s="25" t="s">
        <v>1505</v>
      </c>
      <c r="U411" s="25"/>
    </row>
    <row r="412" spans="1:21" ht="45" customHeight="1" x14ac:dyDescent="0.25">
      <c r="A412" s="35">
        <v>411</v>
      </c>
      <c r="B412" s="35" t="s">
        <v>425</v>
      </c>
      <c r="C412" s="35" t="s">
        <v>425</v>
      </c>
      <c r="D412" s="45" t="s">
        <v>6</v>
      </c>
      <c r="E412" s="37" t="s">
        <v>550</v>
      </c>
      <c r="F412" s="37" t="s">
        <v>1506</v>
      </c>
      <c r="G412" s="35" t="s">
        <v>573</v>
      </c>
      <c r="H412" s="37" t="s">
        <v>553</v>
      </c>
      <c r="I412" s="37" t="s">
        <v>1352</v>
      </c>
      <c r="J412" s="37" t="s">
        <v>555</v>
      </c>
      <c r="K412" s="37" t="s">
        <v>556</v>
      </c>
      <c r="L412" s="37" t="s">
        <v>557</v>
      </c>
      <c r="M412" s="37"/>
      <c r="N412" s="37"/>
      <c r="O412" s="37"/>
      <c r="P412" s="37"/>
      <c r="Q412" s="37"/>
      <c r="R412" s="37" t="s">
        <v>558</v>
      </c>
      <c r="S412" s="37" t="s">
        <v>559</v>
      </c>
      <c r="T412" s="37" t="s">
        <v>1507</v>
      </c>
      <c r="U412" s="37"/>
    </row>
    <row r="413" spans="1:21" ht="45" customHeight="1" x14ac:dyDescent="0.25">
      <c r="A413" s="24">
        <v>412</v>
      </c>
      <c r="B413" s="24" t="s">
        <v>426</v>
      </c>
      <c r="C413" s="24" t="s">
        <v>426</v>
      </c>
      <c r="D413" s="45" t="s">
        <v>6</v>
      </c>
      <c r="E413" s="25" t="s">
        <v>1143</v>
      </c>
      <c r="F413" s="25" t="s">
        <v>1508</v>
      </c>
      <c r="G413" s="24" t="s">
        <v>573</v>
      </c>
      <c r="H413" s="25" t="s">
        <v>553</v>
      </c>
      <c r="I413" s="25" t="s">
        <v>1352</v>
      </c>
      <c r="J413" s="25" t="s">
        <v>555</v>
      </c>
      <c r="K413" s="25" t="s">
        <v>556</v>
      </c>
      <c r="L413" s="25" t="s">
        <v>567</v>
      </c>
      <c r="M413" s="25"/>
      <c r="N413" s="25" t="s">
        <v>1145</v>
      </c>
      <c r="O413" s="25"/>
      <c r="P413" s="25" t="s">
        <v>569</v>
      </c>
      <c r="Q413" s="25"/>
      <c r="R413" s="25" t="s">
        <v>558</v>
      </c>
      <c r="S413" s="25" t="s">
        <v>559</v>
      </c>
      <c r="T413" s="25" t="s">
        <v>1509</v>
      </c>
      <c r="U413" s="25"/>
    </row>
    <row r="414" spans="1:21" ht="45" customHeight="1" x14ac:dyDescent="0.25">
      <c r="A414" s="35">
        <v>413</v>
      </c>
      <c r="B414" s="35" t="s">
        <v>427</v>
      </c>
      <c r="C414" s="35" t="s">
        <v>427</v>
      </c>
      <c r="D414" s="45" t="s">
        <v>6</v>
      </c>
      <c r="E414" s="37" t="s">
        <v>550</v>
      </c>
      <c r="F414" s="37" t="s">
        <v>1510</v>
      </c>
      <c r="G414" s="35" t="s">
        <v>573</v>
      </c>
      <c r="H414" s="37" t="s">
        <v>553</v>
      </c>
      <c r="I414" s="37" t="s">
        <v>1352</v>
      </c>
      <c r="J414" s="37" t="s">
        <v>555</v>
      </c>
      <c r="K414" s="37" t="s">
        <v>556</v>
      </c>
      <c r="L414" s="37" t="s">
        <v>557</v>
      </c>
      <c r="M414" s="37"/>
      <c r="N414" s="37"/>
      <c r="O414" s="37"/>
      <c r="P414" s="37"/>
      <c r="Q414" s="37"/>
      <c r="R414" s="37" t="s">
        <v>558</v>
      </c>
      <c r="S414" s="37" t="s">
        <v>559</v>
      </c>
      <c r="T414" s="37" t="s">
        <v>1511</v>
      </c>
      <c r="U414" s="37"/>
    </row>
    <row r="415" spans="1:21" ht="45" customHeight="1" x14ac:dyDescent="0.25">
      <c r="A415" s="24">
        <v>414</v>
      </c>
      <c r="B415" s="24" t="s">
        <v>428</v>
      </c>
      <c r="C415" s="24" t="s">
        <v>428</v>
      </c>
      <c r="D415" s="45" t="s">
        <v>6</v>
      </c>
      <c r="E415" s="25" t="s">
        <v>550</v>
      </c>
      <c r="F415" s="25" t="s">
        <v>1512</v>
      </c>
      <c r="G415" s="24" t="s">
        <v>573</v>
      </c>
      <c r="H415" s="25" t="s">
        <v>564</v>
      </c>
      <c r="I415" s="25" t="s">
        <v>1352</v>
      </c>
      <c r="J415" s="25" t="s">
        <v>578</v>
      </c>
      <c r="K415" s="25" t="s">
        <v>556</v>
      </c>
      <c r="L415" s="25" t="s">
        <v>696</v>
      </c>
      <c r="M415" s="25"/>
      <c r="N415" s="25"/>
      <c r="O415" s="25"/>
      <c r="P415" s="25"/>
      <c r="Q415" s="25" t="s">
        <v>635</v>
      </c>
      <c r="R415" s="25" t="s">
        <v>558</v>
      </c>
      <c r="S415" s="25" t="s">
        <v>559</v>
      </c>
      <c r="T415" s="25" t="s">
        <v>1513</v>
      </c>
      <c r="U415" s="25"/>
    </row>
    <row r="416" spans="1:21" ht="45" customHeight="1" x14ac:dyDescent="0.25">
      <c r="A416" s="35">
        <v>415</v>
      </c>
      <c r="B416" s="35" t="s">
        <v>429</v>
      </c>
      <c r="C416" s="35" t="s">
        <v>429</v>
      </c>
      <c r="D416" s="45" t="s">
        <v>6</v>
      </c>
      <c r="E416" s="37" t="s">
        <v>550</v>
      </c>
      <c r="F416" s="37" t="s">
        <v>1514</v>
      </c>
      <c r="G416" s="35" t="s">
        <v>573</v>
      </c>
      <c r="H416" s="37" t="s">
        <v>564</v>
      </c>
      <c r="I416" s="37" t="s">
        <v>1352</v>
      </c>
      <c r="J416" s="37" t="s">
        <v>578</v>
      </c>
      <c r="K416" s="37" t="s">
        <v>556</v>
      </c>
      <c r="L416" s="37" t="s">
        <v>557</v>
      </c>
      <c r="M416" s="37"/>
      <c r="N416" s="37"/>
      <c r="O416" s="37"/>
      <c r="P416" s="37"/>
      <c r="Q416" s="37"/>
      <c r="R416" s="37" t="s">
        <v>558</v>
      </c>
      <c r="S416" s="37" t="s">
        <v>559</v>
      </c>
      <c r="T416" s="37" t="s">
        <v>1515</v>
      </c>
      <c r="U416" s="37"/>
    </row>
    <row r="417" spans="1:21" ht="45" customHeight="1" x14ac:dyDescent="0.25">
      <c r="A417" s="24">
        <v>416</v>
      </c>
      <c r="B417" s="24" t="s">
        <v>430</v>
      </c>
      <c r="C417" s="24" t="s">
        <v>430</v>
      </c>
      <c r="D417" s="45" t="s">
        <v>6</v>
      </c>
      <c r="E417" s="25" t="s">
        <v>1143</v>
      </c>
      <c r="F417" s="25" t="s">
        <v>1516</v>
      </c>
      <c r="G417" s="24" t="s">
        <v>573</v>
      </c>
      <c r="H417" s="25" t="s">
        <v>553</v>
      </c>
      <c r="I417" s="25" t="s">
        <v>1352</v>
      </c>
      <c r="J417" s="25" t="s">
        <v>555</v>
      </c>
      <c r="K417" s="25" t="s">
        <v>556</v>
      </c>
      <c r="L417" s="25" t="s">
        <v>567</v>
      </c>
      <c r="M417" s="25"/>
      <c r="N417" s="25" t="s">
        <v>1145</v>
      </c>
      <c r="O417" s="25"/>
      <c r="P417" s="25" t="s">
        <v>569</v>
      </c>
      <c r="Q417" s="25"/>
      <c r="R417" s="25" t="s">
        <v>558</v>
      </c>
      <c r="S417" s="25" t="s">
        <v>559</v>
      </c>
      <c r="T417" s="25" t="s">
        <v>1517</v>
      </c>
      <c r="U417" s="25"/>
    </row>
    <row r="418" spans="1:21" ht="45" customHeight="1" x14ac:dyDescent="0.25">
      <c r="A418" s="35">
        <v>417</v>
      </c>
      <c r="B418" s="35" t="s">
        <v>431</v>
      </c>
      <c r="C418" s="35" t="s">
        <v>431</v>
      </c>
      <c r="D418" s="45" t="s">
        <v>6</v>
      </c>
      <c r="E418" s="37" t="s">
        <v>755</v>
      </c>
      <c r="F418" s="37" t="s">
        <v>1518</v>
      </c>
      <c r="G418" s="38" t="s">
        <v>552</v>
      </c>
      <c r="H418" s="37" t="s">
        <v>600</v>
      </c>
      <c r="I418" s="37" t="s">
        <v>1352</v>
      </c>
      <c r="J418" s="37" t="s">
        <v>757</v>
      </c>
      <c r="K418" s="37" t="s">
        <v>556</v>
      </c>
      <c r="L418" s="37" t="s">
        <v>557</v>
      </c>
      <c r="M418" s="37"/>
      <c r="N418" s="37"/>
      <c r="O418" s="37"/>
      <c r="P418" s="37"/>
      <c r="Q418" s="37"/>
      <c r="R418" s="37" t="s">
        <v>570</v>
      </c>
      <c r="S418" s="37" t="s">
        <v>559</v>
      </c>
      <c r="T418" s="37" t="s">
        <v>1519</v>
      </c>
      <c r="U418" s="37" t="s">
        <v>591</v>
      </c>
    </row>
    <row r="419" spans="1:21" ht="45" customHeight="1" x14ac:dyDescent="0.25">
      <c r="A419" s="24">
        <v>418</v>
      </c>
      <c r="B419" s="24" t="s">
        <v>432</v>
      </c>
      <c r="C419" s="24" t="s">
        <v>432</v>
      </c>
      <c r="D419" s="45" t="s">
        <v>6</v>
      </c>
      <c r="E419" s="25" t="s">
        <v>759</v>
      </c>
      <c r="F419" s="25" t="s">
        <v>1520</v>
      </c>
      <c r="G419" s="26" t="s">
        <v>552</v>
      </c>
      <c r="H419" s="25" t="s">
        <v>600</v>
      </c>
      <c r="I419" s="25" t="s">
        <v>1352</v>
      </c>
      <c r="J419" s="25" t="s">
        <v>761</v>
      </c>
      <c r="K419" s="25" t="s">
        <v>556</v>
      </c>
      <c r="L419" s="25" t="s">
        <v>557</v>
      </c>
      <c r="M419" s="25"/>
      <c r="N419" s="25"/>
      <c r="O419" s="25"/>
      <c r="P419" s="25"/>
      <c r="Q419" s="25"/>
      <c r="R419" s="25" t="s">
        <v>570</v>
      </c>
      <c r="S419" s="25" t="s">
        <v>559</v>
      </c>
      <c r="T419" s="25" t="s">
        <v>1521</v>
      </c>
      <c r="U419" s="25" t="s">
        <v>591</v>
      </c>
    </row>
    <row r="420" spans="1:21" ht="45" customHeight="1" x14ac:dyDescent="0.25">
      <c r="A420" s="35">
        <v>419</v>
      </c>
      <c r="B420" s="35" t="s">
        <v>433</v>
      </c>
      <c r="C420" s="35" t="s">
        <v>433</v>
      </c>
      <c r="D420" s="45" t="s">
        <v>6</v>
      </c>
      <c r="E420" s="37" t="s">
        <v>746</v>
      </c>
      <c r="F420" s="37" t="s">
        <v>1522</v>
      </c>
      <c r="G420" s="35" t="s">
        <v>573</v>
      </c>
      <c r="H420" s="37" t="s">
        <v>553</v>
      </c>
      <c r="I420" s="37" t="s">
        <v>1352</v>
      </c>
      <c r="J420" s="37" t="s">
        <v>555</v>
      </c>
      <c r="K420" s="37" t="s">
        <v>556</v>
      </c>
      <c r="L420" s="37" t="s">
        <v>557</v>
      </c>
      <c r="M420" s="37"/>
      <c r="N420" s="37"/>
      <c r="O420" s="37"/>
      <c r="P420" s="37"/>
      <c r="Q420" s="37"/>
      <c r="R420" s="37" t="s">
        <v>558</v>
      </c>
      <c r="S420" s="37" t="s">
        <v>559</v>
      </c>
      <c r="T420" s="37" t="s">
        <v>1523</v>
      </c>
      <c r="U420" s="37"/>
    </row>
    <row r="421" spans="1:21" ht="45" customHeight="1" x14ac:dyDescent="0.25">
      <c r="A421" s="24">
        <v>420</v>
      </c>
      <c r="B421" s="24" t="s">
        <v>434</v>
      </c>
      <c r="C421" s="24" t="s">
        <v>434</v>
      </c>
      <c r="D421" s="45" t="s">
        <v>6</v>
      </c>
      <c r="E421" s="25" t="s">
        <v>746</v>
      </c>
      <c r="F421" s="25" t="s">
        <v>1524</v>
      </c>
      <c r="G421" s="24" t="s">
        <v>573</v>
      </c>
      <c r="H421" s="25" t="s">
        <v>553</v>
      </c>
      <c r="I421" s="25" t="s">
        <v>1352</v>
      </c>
      <c r="J421" s="25" t="s">
        <v>555</v>
      </c>
      <c r="K421" s="25" t="s">
        <v>556</v>
      </c>
      <c r="L421" s="25" t="s">
        <v>557</v>
      </c>
      <c r="M421" s="25"/>
      <c r="N421" s="25"/>
      <c r="O421" s="25"/>
      <c r="P421" s="25"/>
      <c r="Q421" s="25"/>
      <c r="R421" s="25" t="s">
        <v>558</v>
      </c>
      <c r="S421" s="25" t="s">
        <v>559</v>
      </c>
      <c r="T421" s="25" t="s">
        <v>1525</v>
      </c>
      <c r="U421" s="25"/>
    </row>
    <row r="422" spans="1:21" ht="45" customHeight="1" x14ac:dyDescent="0.25">
      <c r="A422" s="35">
        <v>421</v>
      </c>
      <c r="B422" s="35" t="s">
        <v>435</v>
      </c>
      <c r="C422" s="35" t="s">
        <v>435</v>
      </c>
      <c r="D422" s="45" t="s">
        <v>6</v>
      </c>
      <c r="E422" s="37" t="s">
        <v>755</v>
      </c>
      <c r="F422" s="37" t="s">
        <v>1526</v>
      </c>
      <c r="G422" s="38" t="s">
        <v>552</v>
      </c>
      <c r="H422" s="37" t="s">
        <v>600</v>
      </c>
      <c r="I422" s="37" t="s">
        <v>1352</v>
      </c>
      <c r="J422" s="37" t="s">
        <v>757</v>
      </c>
      <c r="K422" s="37" t="s">
        <v>556</v>
      </c>
      <c r="L422" s="37" t="s">
        <v>696</v>
      </c>
      <c r="M422" s="37"/>
      <c r="N422" s="37"/>
      <c r="O422" s="37"/>
      <c r="P422" s="37"/>
      <c r="Q422" s="37" t="s">
        <v>635</v>
      </c>
      <c r="R422" s="37" t="s">
        <v>570</v>
      </c>
      <c r="S422" s="37" t="s">
        <v>559</v>
      </c>
      <c r="T422" s="37" t="s">
        <v>1527</v>
      </c>
      <c r="U422" s="37" t="s">
        <v>591</v>
      </c>
    </row>
    <row r="423" spans="1:21" ht="45" customHeight="1" x14ac:dyDescent="0.25">
      <c r="A423" s="24">
        <v>422</v>
      </c>
      <c r="B423" s="24" t="s">
        <v>436</v>
      </c>
      <c r="C423" s="24" t="s">
        <v>436</v>
      </c>
      <c r="D423" s="45" t="s">
        <v>6</v>
      </c>
      <c r="E423" s="25" t="s">
        <v>769</v>
      </c>
      <c r="F423" s="25" t="s">
        <v>1528</v>
      </c>
      <c r="G423" s="24" t="s">
        <v>573</v>
      </c>
      <c r="H423" s="25" t="s">
        <v>553</v>
      </c>
      <c r="I423" s="25" t="s">
        <v>1352</v>
      </c>
      <c r="J423" s="25" t="s">
        <v>555</v>
      </c>
      <c r="K423" s="25" t="s">
        <v>556</v>
      </c>
      <c r="L423" s="25" t="s">
        <v>696</v>
      </c>
      <c r="M423" s="25"/>
      <c r="N423" s="25"/>
      <c r="O423" s="25"/>
      <c r="P423" s="25"/>
      <c r="Q423" s="25" t="s">
        <v>635</v>
      </c>
      <c r="R423" s="25" t="s">
        <v>558</v>
      </c>
      <c r="S423" s="25" t="s">
        <v>559</v>
      </c>
      <c r="T423" s="25" t="s">
        <v>1529</v>
      </c>
      <c r="U423" s="25"/>
    </row>
    <row r="424" spans="1:21" ht="45" customHeight="1" x14ac:dyDescent="0.25">
      <c r="A424" s="35">
        <v>423</v>
      </c>
      <c r="B424" s="35" t="s">
        <v>437</v>
      </c>
      <c r="C424" s="35" t="s">
        <v>437</v>
      </c>
      <c r="D424" s="45" t="s">
        <v>6</v>
      </c>
      <c r="E424" s="37" t="s">
        <v>759</v>
      </c>
      <c r="F424" s="37" t="s">
        <v>1530</v>
      </c>
      <c r="G424" s="38" t="s">
        <v>552</v>
      </c>
      <c r="H424" s="37" t="s">
        <v>600</v>
      </c>
      <c r="I424" s="37" t="s">
        <v>1352</v>
      </c>
      <c r="J424" s="37" t="s">
        <v>761</v>
      </c>
      <c r="K424" s="37" t="s">
        <v>556</v>
      </c>
      <c r="L424" s="37" t="s">
        <v>696</v>
      </c>
      <c r="M424" s="37"/>
      <c r="N424" s="37"/>
      <c r="O424" s="37"/>
      <c r="P424" s="37"/>
      <c r="Q424" s="37" t="s">
        <v>635</v>
      </c>
      <c r="R424" s="37" t="s">
        <v>570</v>
      </c>
      <c r="S424" s="37" t="s">
        <v>559</v>
      </c>
      <c r="T424" s="37" t="s">
        <v>1531</v>
      </c>
      <c r="U424" s="37" t="s">
        <v>591</v>
      </c>
    </row>
    <row r="425" spans="1:21" ht="45" customHeight="1" x14ac:dyDescent="0.25">
      <c r="A425" s="24">
        <v>424</v>
      </c>
      <c r="B425" s="24" t="s">
        <v>438</v>
      </c>
      <c r="C425" s="24" t="s">
        <v>438</v>
      </c>
      <c r="D425" s="45" t="s">
        <v>6</v>
      </c>
      <c r="E425" s="25" t="s">
        <v>769</v>
      </c>
      <c r="F425" s="25" t="s">
        <v>1532</v>
      </c>
      <c r="G425" s="24" t="s">
        <v>573</v>
      </c>
      <c r="H425" s="25" t="s">
        <v>553</v>
      </c>
      <c r="I425" s="25" t="s">
        <v>1352</v>
      </c>
      <c r="J425" s="25" t="s">
        <v>555</v>
      </c>
      <c r="K425" s="25" t="s">
        <v>556</v>
      </c>
      <c r="L425" s="25" t="s">
        <v>696</v>
      </c>
      <c r="M425" s="25"/>
      <c r="N425" s="25"/>
      <c r="O425" s="25"/>
      <c r="P425" s="25"/>
      <c r="Q425" s="25" t="s">
        <v>635</v>
      </c>
      <c r="R425" s="25" t="s">
        <v>558</v>
      </c>
      <c r="S425" s="25" t="s">
        <v>559</v>
      </c>
      <c r="T425" s="25" t="s">
        <v>1533</v>
      </c>
      <c r="U425" s="25"/>
    </row>
    <row r="426" spans="1:21" ht="45" customHeight="1" x14ac:dyDescent="0.25">
      <c r="A426" s="35">
        <v>425</v>
      </c>
      <c r="B426" s="35" t="s">
        <v>439</v>
      </c>
      <c r="C426" s="35" t="s">
        <v>439</v>
      </c>
      <c r="D426" s="45" t="s">
        <v>6</v>
      </c>
      <c r="E426" s="37" t="s">
        <v>1143</v>
      </c>
      <c r="F426" s="37" t="s">
        <v>1534</v>
      </c>
      <c r="G426" s="35" t="s">
        <v>573</v>
      </c>
      <c r="H426" s="37" t="s">
        <v>553</v>
      </c>
      <c r="I426" s="37" t="s">
        <v>1352</v>
      </c>
      <c r="J426" s="37" t="s">
        <v>555</v>
      </c>
      <c r="K426" s="37" t="s">
        <v>556</v>
      </c>
      <c r="L426" s="37" t="s">
        <v>567</v>
      </c>
      <c r="M426" s="37"/>
      <c r="N426" s="37" t="s">
        <v>1145</v>
      </c>
      <c r="O426" s="37" t="s">
        <v>568</v>
      </c>
      <c r="P426" s="37" t="s">
        <v>569</v>
      </c>
      <c r="Q426" s="37"/>
      <c r="R426" s="37" t="s">
        <v>570</v>
      </c>
      <c r="S426" s="37" t="s">
        <v>559</v>
      </c>
      <c r="T426" s="37" t="s">
        <v>1535</v>
      </c>
      <c r="U426" s="37"/>
    </row>
    <row r="427" spans="1:21" ht="45" customHeight="1" x14ac:dyDescent="0.25">
      <c r="A427" s="24">
        <v>426</v>
      </c>
      <c r="B427" s="24" t="s">
        <v>440</v>
      </c>
      <c r="C427" s="24" t="s">
        <v>440</v>
      </c>
      <c r="D427" s="45" t="s">
        <v>6</v>
      </c>
      <c r="E427" s="25" t="s">
        <v>1143</v>
      </c>
      <c r="F427" s="25" t="s">
        <v>1536</v>
      </c>
      <c r="G427" s="24" t="s">
        <v>573</v>
      </c>
      <c r="H427" s="25" t="s">
        <v>553</v>
      </c>
      <c r="I427" s="25" t="s">
        <v>1352</v>
      </c>
      <c r="J427" s="25" t="s">
        <v>555</v>
      </c>
      <c r="K427" s="25" t="s">
        <v>556</v>
      </c>
      <c r="L427" s="25" t="s">
        <v>567</v>
      </c>
      <c r="M427" s="25"/>
      <c r="N427" s="25" t="s">
        <v>1145</v>
      </c>
      <c r="O427" s="25"/>
      <c r="P427" s="25" t="s">
        <v>569</v>
      </c>
      <c r="Q427" s="25"/>
      <c r="R427" s="25" t="s">
        <v>558</v>
      </c>
      <c r="S427" s="25" t="s">
        <v>559</v>
      </c>
      <c r="T427" s="25" t="s">
        <v>1537</v>
      </c>
      <c r="U427" s="25"/>
    </row>
    <row r="428" spans="1:21" ht="45" customHeight="1" x14ac:dyDescent="0.25">
      <c r="A428" s="35">
        <v>427</v>
      </c>
      <c r="B428" s="35" t="s">
        <v>441</v>
      </c>
      <c r="C428" s="35" t="s">
        <v>441</v>
      </c>
      <c r="D428" s="45" t="s">
        <v>6</v>
      </c>
      <c r="E428" s="37" t="s">
        <v>1154</v>
      </c>
      <c r="F428" s="37" t="s">
        <v>1538</v>
      </c>
      <c r="G428" s="35" t="s">
        <v>573</v>
      </c>
      <c r="H428" s="37" t="s">
        <v>553</v>
      </c>
      <c r="I428" s="37" t="s">
        <v>1352</v>
      </c>
      <c r="J428" s="37" t="s">
        <v>555</v>
      </c>
      <c r="K428" s="37" t="s">
        <v>556</v>
      </c>
      <c r="L428" s="37" t="s">
        <v>557</v>
      </c>
      <c r="M428" s="37"/>
      <c r="N428" s="37" t="s">
        <v>1156</v>
      </c>
      <c r="O428" s="37"/>
      <c r="P428" s="37"/>
      <c r="Q428" s="37"/>
      <c r="R428" s="37" t="s">
        <v>558</v>
      </c>
      <c r="S428" s="37" t="s">
        <v>559</v>
      </c>
      <c r="T428" s="37" t="s">
        <v>1539</v>
      </c>
      <c r="U428" s="37"/>
    </row>
    <row r="429" spans="1:21" ht="45" customHeight="1" x14ac:dyDescent="0.25">
      <c r="A429" s="24">
        <v>428</v>
      </c>
      <c r="B429" s="24" t="s">
        <v>442</v>
      </c>
      <c r="C429" s="24" t="s">
        <v>442</v>
      </c>
      <c r="D429" s="45" t="s">
        <v>6</v>
      </c>
      <c r="E429" s="25" t="s">
        <v>550</v>
      </c>
      <c r="F429" s="25" t="s">
        <v>1540</v>
      </c>
      <c r="G429" s="24" t="s">
        <v>573</v>
      </c>
      <c r="H429" s="25" t="s">
        <v>553</v>
      </c>
      <c r="I429" s="25" t="s">
        <v>1352</v>
      </c>
      <c r="J429" s="25" t="s">
        <v>555</v>
      </c>
      <c r="K429" s="25" t="s">
        <v>556</v>
      </c>
      <c r="L429" s="25" t="s">
        <v>557</v>
      </c>
      <c r="M429" s="25"/>
      <c r="N429" s="25"/>
      <c r="O429" s="25" t="s">
        <v>568</v>
      </c>
      <c r="P429" s="25"/>
      <c r="Q429" s="25"/>
      <c r="R429" s="25" t="s">
        <v>558</v>
      </c>
      <c r="S429" s="25" t="s">
        <v>559</v>
      </c>
      <c r="T429" s="25" t="s">
        <v>1541</v>
      </c>
      <c r="U429" s="25"/>
    </row>
    <row r="430" spans="1:21" ht="45" customHeight="1" x14ac:dyDescent="0.25">
      <c r="A430" s="35">
        <v>429</v>
      </c>
      <c r="B430" s="35" t="s">
        <v>443</v>
      </c>
      <c r="C430" s="35" t="s">
        <v>443</v>
      </c>
      <c r="D430" s="45" t="s">
        <v>6</v>
      </c>
      <c r="E430" s="37" t="s">
        <v>550</v>
      </c>
      <c r="F430" s="37" t="s">
        <v>1542</v>
      </c>
      <c r="G430" s="35" t="s">
        <v>573</v>
      </c>
      <c r="H430" s="37" t="s">
        <v>553</v>
      </c>
      <c r="I430" s="37" t="s">
        <v>1352</v>
      </c>
      <c r="J430" s="37" t="s">
        <v>555</v>
      </c>
      <c r="K430" s="37" t="s">
        <v>556</v>
      </c>
      <c r="L430" s="37" t="s">
        <v>557</v>
      </c>
      <c r="M430" s="37"/>
      <c r="N430" s="37"/>
      <c r="O430" s="37"/>
      <c r="P430" s="37"/>
      <c r="Q430" s="37"/>
      <c r="R430" s="37" t="s">
        <v>558</v>
      </c>
      <c r="S430" s="37" t="s">
        <v>559</v>
      </c>
      <c r="T430" s="37" t="s">
        <v>1543</v>
      </c>
      <c r="U430" s="37"/>
    </row>
    <row r="431" spans="1:21" ht="45" customHeight="1" x14ac:dyDescent="0.25">
      <c r="A431" s="24">
        <v>430</v>
      </c>
      <c r="B431" s="24" t="s">
        <v>444</v>
      </c>
      <c r="C431" s="24" t="s">
        <v>444</v>
      </c>
      <c r="D431" s="45" t="s">
        <v>6</v>
      </c>
      <c r="E431" s="25" t="s">
        <v>550</v>
      </c>
      <c r="F431" s="25" t="s">
        <v>1544</v>
      </c>
      <c r="G431" s="24" t="s">
        <v>573</v>
      </c>
      <c r="H431" s="25" t="s">
        <v>553</v>
      </c>
      <c r="I431" s="25" t="s">
        <v>1352</v>
      </c>
      <c r="J431" s="25" t="s">
        <v>555</v>
      </c>
      <c r="K431" s="25" t="s">
        <v>556</v>
      </c>
      <c r="L431" s="25" t="s">
        <v>557</v>
      </c>
      <c r="M431" s="25"/>
      <c r="N431" s="25"/>
      <c r="O431" s="25"/>
      <c r="P431" s="25"/>
      <c r="Q431" s="25"/>
      <c r="R431" s="25" t="s">
        <v>558</v>
      </c>
      <c r="S431" s="25" t="s">
        <v>559</v>
      </c>
      <c r="T431" s="25" t="s">
        <v>1545</v>
      </c>
      <c r="U431" s="25"/>
    </row>
    <row r="432" spans="1:21" ht="45" customHeight="1" x14ac:dyDescent="0.25">
      <c r="A432" s="35">
        <v>431</v>
      </c>
      <c r="B432" s="35" t="s">
        <v>445</v>
      </c>
      <c r="C432" s="35" t="s">
        <v>445</v>
      </c>
      <c r="D432" s="45" t="s">
        <v>6</v>
      </c>
      <c r="E432" s="37" t="s">
        <v>1066</v>
      </c>
      <c r="F432" s="37" t="s">
        <v>1546</v>
      </c>
      <c r="G432" s="35" t="s">
        <v>573</v>
      </c>
      <c r="H432" s="37" t="s">
        <v>610</v>
      </c>
      <c r="I432" s="37" t="s">
        <v>1352</v>
      </c>
      <c r="J432" s="37" t="s">
        <v>578</v>
      </c>
      <c r="K432" s="37" t="s">
        <v>1068</v>
      </c>
      <c r="L432" s="37" t="s">
        <v>567</v>
      </c>
      <c r="M432" s="37"/>
      <c r="N432" s="37"/>
      <c r="O432" s="37"/>
      <c r="P432" s="37" t="s">
        <v>569</v>
      </c>
      <c r="Q432" s="37"/>
      <c r="R432" s="37" t="s">
        <v>558</v>
      </c>
      <c r="S432" s="37" t="s">
        <v>559</v>
      </c>
      <c r="T432" s="37" t="s">
        <v>1547</v>
      </c>
      <c r="U432" s="37"/>
    </row>
    <row r="433" spans="1:21" ht="45" customHeight="1" x14ac:dyDescent="0.25">
      <c r="A433" s="24">
        <v>432</v>
      </c>
      <c r="B433" s="24" t="s">
        <v>446</v>
      </c>
      <c r="C433" s="24" t="s">
        <v>446</v>
      </c>
      <c r="D433" s="45" t="s">
        <v>6</v>
      </c>
      <c r="E433" s="25" t="s">
        <v>550</v>
      </c>
      <c r="F433" s="25" t="s">
        <v>1548</v>
      </c>
      <c r="G433" s="24" t="s">
        <v>573</v>
      </c>
      <c r="H433" s="25" t="s">
        <v>553</v>
      </c>
      <c r="I433" s="25" t="s">
        <v>1352</v>
      </c>
      <c r="J433" s="25" t="s">
        <v>555</v>
      </c>
      <c r="K433" s="25" t="s">
        <v>556</v>
      </c>
      <c r="L433" s="25" t="s">
        <v>557</v>
      </c>
      <c r="M433" s="25"/>
      <c r="N433" s="25"/>
      <c r="O433" s="25"/>
      <c r="P433" s="25"/>
      <c r="Q433" s="25"/>
      <c r="R433" s="25" t="s">
        <v>558</v>
      </c>
      <c r="S433" s="25" t="s">
        <v>559</v>
      </c>
      <c r="T433" s="25" t="s">
        <v>1549</v>
      </c>
      <c r="U433" s="25"/>
    </row>
    <row r="434" spans="1:21" ht="45" customHeight="1" x14ac:dyDescent="0.25">
      <c r="A434" s="35">
        <v>433</v>
      </c>
      <c r="B434" s="35" t="s">
        <v>447</v>
      </c>
      <c r="C434" s="35" t="s">
        <v>447</v>
      </c>
      <c r="D434" s="45" t="s">
        <v>6</v>
      </c>
      <c r="E434" s="37" t="s">
        <v>990</v>
      </c>
      <c r="F434" s="37" t="s">
        <v>1550</v>
      </c>
      <c r="G434" s="35" t="s">
        <v>573</v>
      </c>
      <c r="H434" s="37" t="s">
        <v>564</v>
      </c>
      <c r="I434" s="37" t="s">
        <v>1352</v>
      </c>
      <c r="J434" s="37" t="s">
        <v>578</v>
      </c>
      <c r="K434" s="37" t="s">
        <v>992</v>
      </c>
      <c r="L434" s="37" t="s">
        <v>557</v>
      </c>
      <c r="M434" s="37"/>
      <c r="N434" s="37"/>
      <c r="O434" s="37"/>
      <c r="P434" s="37"/>
      <c r="Q434" s="37"/>
      <c r="R434" s="37" t="s">
        <v>558</v>
      </c>
      <c r="S434" s="37" t="s">
        <v>559</v>
      </c>
      <c r="T434" s="37" t="s">
        <v>1551</v>
      </c>
      <c r="U434" s="37"/>
    </row>
    <row r="435" spans="1:21" ht="45" customHeight="1" x14ac:dyDescent="0.25">
      <c r="A435" s="24">
        <v>434</v>
      </c>
      <c r="B435" s="24" t="s">
        <v>448</v>
      </c>
      <c r="C435" s="24" t="s">
        <v>448</v>
      </c>
      <c r="D435" s="45" t="s">
        <v>6</v>
      </c>
      <c r="E435" s="25" t="s">
        <v>550</v>
      </c>
      <c r="F435" s="25" t="s">
        <v>1552</v>
      </c>
      <c r="G435" s="24" t="s">
        <v>573</v>
      </c>
      <c r="H435" s="25" t="s">
        <v>553</v>
      </c>
      <c r="I435" s="25" t="s">
        <v>1352</v>
      </c>
      <c r="J435" s="25" t="s">
        <v>555</v>
      </c>
      <c r="K435" s="25" t="s">
        <v>556</v>
      </c>
      <c r="L435" s="25" t="s">
        <v>557</v>
      </c>
      <c r="M435" s="25"/>
      <c r="N435" s="25"/>
      <c r="O435" s="25"/>
      <c r="P435" s="25"/>
      <c r="Q435" s="25"/>
      <c r="R435" s="25" t="s">
        <v>558</v>
      </c>
      <c r="S435" s="25" t="s">
        <v>559</v>
      </c>
      <c r="T435" s="25" t="s">
        <v>1553</v>
      </c>
      <c r="U435" s="25"/>
    </row>
    <row r="436" spans="1:21" ht="45" customHeight="1" x14ac:dyDescent="0.25">
      <c r="A436" s="35">
        <v>435</v>
      </c>
      <c r="B436" s="35" t="s">
        <v>449</v>
      </c>
      <c r="C436" s="35" t="s">
        <v>449</v>
      </c>
      <c r="D436" s="45" t="s">
        <v>6</v>
      </c>
      <c r="E436" s="37" t="s">
        <v>550</v>
      </c>
      <c r="F436" s="37" t="s">
        <v>1554</v>
      </c>
      <c r="G436" s="35" t="s">
        <v>573</v>
      </c>
      <c r="H436" s="37" t="s">
        <v>553</v>
      </c>
      <c r="I436" s="37" t="s">
        <v>1352</v>
      </c>
      <c r="J436" s="37" t="s">
        <v>555</v>
      </c>
      <c r="K436" s="37" t="s">
        <v>556</v>
      </c>
      <c r="L436" s="37" t="s">
        <v>557</v>
      </c>
      <c r="M436" s="37"/>
      <c r="N436" s="37" t="s">
        <v>701</v>
      </c>
      <c r="O436" s="37"/>
      <c r="P436" s="37"/>
      <c r="Q436" s="37"/>
      <c r="R436" s="37" t="s">
        <v>558</v>
      </c>
      <c r="S436" s="37" t="s">
        <v>559</v>
      </c>
      <c r="T436" s="37" t="s">
        <v>1555</v>
      </c>
      <c r="U436" s="37"/>
    </row>
    <row r="437" spans="1:21" ht="45" customHeight="1" x14ac:dyDescent="0.25">
      <c r="A437" s="24">
        <v>436</v>
      </c>
      <c r="B437" s="24" t="s">
        <v>450</v>
      </c>
      <c r="C437" s="24" t="s">
        <v>450</v>
      </c>
      <c r="D437" s="45" t="s">
        <v>6</v>
      </c>
      <c r="E437" s="25" t="s">
        <v>977</v>
      </c>
      <c r="F437" s="25" t="s">
        <v>1556</v>
      </c>
      <c r="G437" s="24" t="s">
        <v>573</v>
      </c>
      <c r="H437" s="25" t="s">
        <v>553</v>
      </c>
      <c r="I437" s="25" t="s">
        <v>1352</v>
      </c>
      <c r="J437" s="25" t="s">
        <v>555</v>
      </c>
      <c r="K437" s="25" t="s">
        <v>979</v>
      </c>
      <c r="L437" s="25" t="s">
        <v>696</v>
      </c>
      <c r="M437" s="25"/>
      <c r="N437" s="25"/>
      <c r="O437" s="25"/>
      <c r="P437" s="25"/>
      <c r="Q437" s="25" t="s">
        <v>635</v>
      </c>
      <c r="R437" s="25" t="s">
        <v>558</v>
      </c>
      <c r="S437" s="25" t="s">
        <v>559</v>
      </c>
      <c r="T437" s="25" t="s">
        <v>1557</v>
      </c>
      <c r="U437" s="25"/>
    </row>
    <row r="438" spans="1:21" ht="45" customHeight="1" x14ac:dyDescent="0.25">
      <c r="A438" s="35">
        <v>437</v>
      </c>
      <c r="B438" s="35" t="s">
        <v>451</v>
      </c>
      <c r="C438" s="35" t="s">
        <v>451</v>
      </c>
      <c r="D438" s="45" t="s">
        <v>6</v>
      </c>
      <c r="E438" s="37" t="s">
        <v>977</v>
      </c>
      <c r="F438" s="37" t="s">
        <v>1558</v>
      </c>
      <c r="G438" s="35" t="s">
        <v>573</v>
      </c>
      <c r="H438" s="37" t="s">
        <v>564</v>
      </c>
      <c r="I438" s="37" t="s">
        <v>1352</v>
      </c>
      <c r="J438" s="37" t="s">
        <v>578</v>
      </c>
      <c r="K438" s="37" t="s">
        <v>979</v>
      </c>
      <c r="L438" s="37" t="s">
        <v>1046</v>
      </c>
      <c r="M438" s="37" t="s">
        <v>1559</v>
      </c>
      <c r="N438" s="37"/>
      <c r="O438" s="37"/>
      <c r="P438" s="37"/>
      <c r="Q438" s="37" t="s">
        <v>635</v>
      </c>
      <c r="R438" s="37" t="s">
        <v>558</v>
      </c>
      <c r="S438" s="37" t="s">
        <v>559</v>
      </c>
      <c r="T438" s="37" t="s">
        <v>1560</v>
      </c>
      <c r="U438" s="37" t="s">
        <v>1050</v>
      </c>
    </row>
    <row r="439" spans="1:21" ht="45" customHeight="1" x14ac:dyDescent="0.25">
      <c r="A439" s="24">
        <v>438</v>
      </c>
      <c r="B439" s="24" t="s">
        <v>452</v>
      </c>
      <c r="C439" s="24" t="s">
        <v>452</v>
      </c>
      <c r="D439" s="45" t="s">
        <v>6</v>
      </c>
      <c r="E439" s="25" t="s">
        <v>977</v>
      </c>
      <c r="F439" s="25" t="s">
        <v>1561</v>
      </c>
      <c r="G439" s="24" t="s">
        <v>573</v>
      </c>
      <c r="H439" s="25" t="s">
        <v>553</v>
      </c>
      <c r="I439" s="25" t="s">
        <v>1352</v>
      </c>
      <c r="J439" s="25" t="s">
        <v>555</v>
      </c>
      <c r="K439" s="25" t="s">
        <v>979</v>
      </c>
      <c r="L439" s="25" t="s">
        <v>696</v>
      </c>
      <c r="M439" s="25"/>
      <c r="N439" s="25"/>
      <c r="O439" s="25"/>
      <c r="P439" s="25"/>
      <c r="Q439" s="25" t="s">
        <v>635</v>
      </c>
      <c r="R439" s="25" t="s">
        <v>558</v>
      </c>
      <c r="S439" s="25" t="s">
        <v>559</v>
      </c>
      <c r="T439" s="25" t="s">
        <v>1562</v>
      </c>
      <c r="U439" s="25"/>
    </row>
    <row r="440" spans="1:21" ht="45" customHeight="1" x14ac:dyDescent="0.25">
      <c r="A440" s="35">
        <v>439</v>
      </c>
      <c r="B440" s="35" t="s">
        <v>453</v>
      </c>
      <c r="C440" s="35" t="s">
        <v>453</v>
      </c>
      <c r="D440" s="45" t="s">
        <v>6</v>
      </c>
      <c r="E440" s="37" t="s">
        <v>990</v>
      </c>
      <c r="F440" s="37" t="s">
        <v>1563</v>
      </c>
      <c r="G440" s="35" t="s">
        <v>573</v>
      </c>
      <c r="H440" s="37" t="s">
        <v>610</v>
      </c>
      <c r="I440" s="37" t="s">
        <v>1352</v>
      </c>
      <c r="J440" s="37" t="s">
        <v>578</v>
      </c>
      <c r="K440" s="37" t="s">
        <v>992</v>
      </c>
      <c r="L440" s="37" t="s">
        <v>557</v>
      </c>
      <c r="M440" s="37"/>
      <c r="N440" s="37"/>
      <c r="O440" s="37"/>
      <c r="P440" s="37"/>
      <c r="Q440" s="37"/>
      <c r="R440" s="37" t="s">
        <v>558</v>
      </c>
      <c r="S440" s="37" t="s">
        <v>559</v>
      </c>
      <c r="T440" s="37" t="s">
        <v>1564</v>
      </c>
      <c r="U440" s="37"/>
    </row>
    <row r="441" spans="1:21" ht="45" customHeight="1" x14ac:dyDescent="0.25">
      <c r="A441" s="24">
        <v>440</v>
      </c>
      <c r="B441" s="24" t="s">
        <v>454</v>
      </c>
      <c r="C441" s="24" t="s">
        <v>454</v>
      </c>
      <c r="D441" s="45" t="s">
        <v>6</v>
      </c>
      <c r="E441" s="25" t="s">
        <v>550</v>
      </c>
      <c r="F441" s="25" t="s">
        <v>1565</v>
      </c>
      <c r="G441" s="26" t="s">
        <v>552</v>
      </c>
      <c r="H441" s="25" t="s">
        <v>553</v>
      </c>
      <c r="I441" s="25" t="s">
        <v>1352</v>
      </c>
      <c r="J441" s="25" t="s">
        <v>555</v>
      </c>
      <c r="K441" s="25" t="s">
        <v>556</v>
      </c>
      <c r="L441" s="25" t="s">
        <v>557</v>
      </c>
      <c r="M441" s="25"/>
      <c r="N441" s="25"/>
      <c r="O441" s="25"/>
      <c r="P441" s="25"/>
      <c r="Q441" s="25"/>
      <c r="R441" s="25" t="s">
        <v>558</v>
      </c>
      <c r="S441" s="25" t="s">
        <v>559</v>
      </c>
      <c r="T441" s="25" t="s">
        <v>1566</v>
      </c>
      <c r="U441" s="25" t="s">
        <v>561</v>
      </c>
    </row>
    <row r="442" spans="1:21" ht="45" customHeight="1" x14ac:dyDescent="0.25">
      <c r="A442" s="35">
        <v>441</v>
      </c>
      <c r="B442" s="35" t="s">
        <v>455</v>
      </c>
      <c r="C442" s="35" t="s">
        <v>455</v>
      </c>
      <c r="D442" s="45" t="s">
        <v>6</v>
      </c>
      <c r="E442" s="37" t="s">
        <v>550</v>
      </c>
      <c r="F442" s="37" t="s">
        <v>1567</v>
      </c>
      <c r="G442" s="35" t="s">
        <v>573</v>
      </c>
      <c r="H442" s="37" t="s">
        <v>700</v>
      </c>
      <c r="I442" s="37" t="s">
        <v>1352</v>
      </c>
      <c r="J442" s="37" t="s">
        <v>708</v>
      </c>
      <c r="K442" s="37" t="s">
        <v>556</v>
      </c>
      <c r="L442" s="37" t="s">
        <v>557</v>
      </c>
      <c r="M442" s="37"/>
      <c r="N442" s="37"/>
      <c r="O442" s="37"/>
      <c r="P442" s="37"/>
      <c r="Q442" s="37"/>
      <c r="R442" s="37" t="s">
        <v>558</v>
      </c>
      <c r="S442" s="37" t="s">
        <v>559</v>
      </c>
      <c r="T442" s="37" t="s">
        <v>1568</v>
      </c>
      <c r="U442" s="37"/>
    </row>
    <row r="443" spans="1:21" ht="45" customHeight="1" x14ac:dyDescent="0.25">
      <c r="A443" s="24">
        <v>442</v>
      </c>
      <c r="B443" s="24" t="s">
        <v>456</v>
      </c>
      <c r="C443" s="24" t="s">
        <v>456</v>
      </c>
      <c r="D443" s="45" t="s">
        <v>6</v>
      </c>
      <c r="E443" s="25" t="s">
        <v>550</v>
      </c>
      <c r="F443" s="25" t="s">
        <v>1569</v>
      </c>
      <c r="G443" s="24" t="s">
        <v>573</v>
      </c>
      <c r="H443" s="25" t="s">
        <v>564</v>
      </c>
      <c r="I443" s="25" t="s">
        <v>1352</v>
      </c>
      <c r="J443" s="25" t="s">
        <v>578</v>
      </c>
      <c r="K443" s="25" t="s">
        <v>556</v>
      </c>
      <c r="L443" s="25" t="s">
        <v>557</v>
      </c>
      <c r="M443" s="25"/>
      <c r="N443" s="25"/>
      <c r="O443" s="25"/>
      <c r="P443" s="25"/>
      <c r="Q443" s="25"/>
      <c r="R443" s="25" t="s">
        <v>558</v>
      </c>
      <c r="S443" s="25" t="s">
        <v>559</v>
      </c>
      <c r="T443" s="25" t="s">
        <v>1570</v>
      </c>
      <c r="U443" s="25"/>
    </row>
    <row r="444" spans="1:21" ht="45" customHeight="1" x14ac:dyDescent="0.25">
      <c r="A444" s="35">
        <v>443</v>
      </c>
      <c r="B444" s="35" t="s">
        <v>457</v>
      </c>
      <c r="C444" s="35" t="s">
        <v>457</v>
      </c>
      <c r="D444" s="45" t="s">
        <v>6</v>
      </c>
      <c r="E444" s="37" t="s">
        <v>550</v>
      </c>
      <c r="F444" s="37" t="s">
        <v>1571</v>
      </c>
      <c r="G444" s="35" t="s">
        <v>573</v>
      </c>
      <c r="H444" s="37" t="s">
        <v>553</v>
      </c>
      <c r="I444" s="37" t="s">
        <v>1352</v>
      </c>
      <c r="J444" s="37" t="s">
        <v>555</v>
      </c>
      <c r="K444" s="37" t="s">
        <v>556</v>
      </c>
      <c r="L444" s="37" t="s">
        <v>557</v>
      </c>
      <c r="M444" s="37"/>
      <c r="N444" s="37"/>
      <c r="O444" s="37"/>
      <c r="P444" s="37"/>
      <c r="Q444" s="37"/>
      <c r="R444" s="37" t="s">
        <v>558</v>
      </c>
      <c r="S444" s="37" t="s">
        <v>559</v>
      </c>
      <c r="T444" s="37" t="s">
        <v>1572</v>
      </c>
      <c r="U444" s="37"/>
    </row>
    <row r="445" spans="1:21" ht="45" customHeight="1" x14ac:dyDescent="0.25">
      <c r="A445" s="24">
        <v>444</v>
      </c>
      <c r="B445" s="24" t="s">
        <v>458</v>
      </c>
      <c r="C445" s="24" t="s">
        <v>458</v>
      </c>
      <c r="D445" s="45" t="s">
        <v>6</v>
      </c>
      <c r="E445" s="25" t="s">
        <v>550</v>
      </c>
      <c r="F445" s="25" t="s">
        <v>1573</v>
      </c>
      <c r="G445" s="24" t="s">
        <v>573</v>
      </c>
      <c r="H445" s="25" t="s">
        <v>553</v>
      </c>
      <c r="I445" s="25" t="s">
        <v>1352</v>
      </c>
      <c r="J445" s="25" t="s">
        <v>555</v>
      </c>
      <c r="K445" s="25" t="s">
        <v>556</v>
      </c>
      <c r="L445" s="25" t="s">
        <v>557</v>
      </c>
      <c r="M445" s="25"/>
      <c r="N445" s="25"/>
      <c r="O445" s="25"/>
      <c r="P445" s="25"/>
      <c r="Q445" s="25"/>
      <c r="R445" s="25" t="s">
        <v>558</v>
      </c>
      <c r="S445" s="25" t="s">
        <v>559</v>
      </c>
      <c r="T445" s="25" t="s">
        <v>1574</v>
      </c>
      <c r="U445" s="25"/>
    </row>
    <row r="446" spans="1:21" ht="45" customHeight="1" x14ac:dyDescent="0.25">
      <c r="A446" s="35">
        <v>445</v>
      </c>
      <c r="B446" s="35" t="s">
        <v>459</v>
      </c>
      <c r="C446" s="35" t="s">
        <v>459</v>
      </c>
      <c r="D446" s="45" t="s">
        <v>6</v>
      </c>
      <c r="E446" s="37" t="s">
        <v>1245</v>
      </c>
      <c r="F446" s="37" t="s">
        <v>1575</v>
      </c>
      <c r="G446" s="35" t="s">
        <v>573</v>
      </c>
      <c r="H446" s="37" t="s">
        <v>553</v>
      </c>
      <c r="I446" s="37" t="s">
        <v>1352</v>
      </c>
      <c r="J446" s="37" t="s">
        <v>555</v>
      </c>
      <c r="K446" s="37" t="s">
        <v>1247</v>
      </c>
      <c r="L446" s="37" t="s">
        <v>557</v>
      </c>
      <c r="M446" s="37"/>
      <c r="N446" s="37" t="s">
        <v>619</v>
      </c>
      <c r="O446" s="37"/>
      <c r="P446" s="37"/>
      <c r="Q446" s="37"/>
      <c r="R446" s="37" t="s">
        <v>558</v>
      </c>
      <c r="S446" s="37" t="s">
        <v>559</v>
      </c>
      <c r="T446" s="37" t="s">
        <v>1576</v>
      </c>
      <c r="U446" s="37"/>
    </row>
    <row r="447" spans="1:21" ht="45" customHeight="1" x14ac:dyDescent="0.25">
      <c r="A447" s="24">
        <v>446</v>
      </c>
      <c r="B447" s="24" t="s">
        <v>460</v>
      </c>
      <c r="C447" s="24" t="s">
        <v>460</v>
      </c>
      <c r="D447" s="45" t="s">
        <v>6</v>
      </c>
      <c r="E447" s="25" t="s">
        <v>977</v>
      </c>
      <c r="F447" s="25" t="s">
        <v>1577</v>
      </c>
      <c r="G447" s="24" t="s">
        <v>573</v>
      </c>
      <c r="H447" s="25" t="s">
        <v>553</v>
      </c>
      <c r="I447" s="25" t="s">
        <v>1352</v>
      </c>
      <c r="J447" s="25" t="s">
        <v>555</v>
      </c>
      <c r="K447" s="25" t="s">
        <v>979</v>
      </c>
      <c r="L447" s="25" t="s">
        <v>696</v>
      </c>
      <c r="M447" s="25"/>
      <c r="N447" s="25" t="s">
        <v>986</v>
      </c>
      <c r="O447" s="25"/>
      <c r="P447" s="25"/>
      <c r="Q447" s="25" t="s">
        <v>635</v>
      </c>
      <c r="R447" s="25" t="s">
        <v>558</v>
      </c>
      <c r="S447" s="25" t="s">
        <v>559</v>
      </c>
      <c r="T447" s="25" t="s">
        <v>1578</v>
      </c>
      <c r="U447" s="25"/>
    </row>
    <row r="448" spans="1:21" ht="45" customHeight="1" x14ac:dyDescent="0.25">
      <c r="A448" s="35">
        <v>447</v>
      </c>
      <c r="B448" s="35" t="s">
        <v>461</v>
      </c>
      <c r="C448" s="35" t="s">
        <v>461</v>
      </c>
      <c r="D448" s="45" t="s">
        <v>6</v>
      </c>
      <c r="E448" s="37" t="s">
        <v>977</v>
      </c>
      <c r="F448" s="37" t="s">
        <v>1579</v>
      </c>
      <c r="G448" s="35" t="s">
        <v>573</v>
      </c>
      <c r="H448" s="37" t="s">
        <v>553</v>
      </c>
      <c r="I448" s="37" t="s">
        <v>1352</v>
      </c>
      <c r="J448" s="37" t="s">
        <v>555</v>
      </c>
      <c r="K448" s="37" t="s">
        <v>979</v>
      </c>
      <c r="L448" s="37" t="s">
        <v>696</v>
      </c>
      <c r="M448" s="37"/>
      <c r="N448" s="37"/>
      <c r="O448" s="37"/>
      <c r="P448" s="37"/>
      <c r="Q448" s="37" t="s">
        <v>635</v>
      </c>
      <c r="R448" s="37" t="s">
        <v>558</v>
      </c>
      <c r="S448" s="37" t="s">
        <v>559</v>
      </c>
      <c r="T448" s="37" t="s">
        <v>1580</v>
      </c>
      <c r="U448" s="37"/>
    </row>
    <row r="449" spans="1:21" ht="45" customHeight="1" x14ac:dyDescent="0.25">
      <c r="A449" s="24">
        <v>448</v>
      </c>
      <c r="B449" s="24" t="s">
        <v>462</v>
      </c>
      <c r="C449" s="24" t="s">
        <v>462</v>
      </c>
      <c r="D449" s="45" t="s">
        <v>6</v>
      </c>
      <c r="E449" s="25" t="s">
        <v>977</v>
      </c>
      <c r="F449" s="25" t="s">
        <v>1581</v>
      </c>
      <c r="G449" s="24" t="s">
        <v>573</v>
      </c>
      <c r="H449" s="25" t="s">
        <v>553</v>
      </c>
      <c r="I449" s="25" t="s">
        <v>1352</v>
      </c>
      <c r="J449" s="25" t="s">
        <v>555</v>
      </c>
      <c r="K449" s="25" t="s">
        <v>979</v>
      </c>
      <c r="L449" s="25" t="s">
        <v>696</v>
      </c>
      <c r="M449" s="25"/>
      <c r="N449" s="25" t="s">
        <v>986</v>
      </c>
      <c r="O449" s="25"/>
      <c r="P449" s="25"/>
      <c r="Q449" s="25" t="s">
        <v>635</v>
      </c>
      <c r="R449" s="25" t="s">
        <v>558</v>
      </c>
      <c r="S449" s="25" t="s">
        <v>559</v>
      </c>
      <c r="T449" s="25" t="s">
        <v>1582</v>
      </c>
      <c r="U449" s="25"/>
    </row>
    <row r="450" spans="1:21" ht="45" customHeight="1" x14ac:dyDescent="0.25">
      <c r="A450" s="35">
        <v>449</v>
      </c>
      <c r="B450" s="35" t="s">
        <v>463</v>
      </c>
      <c r="C450" s="35" t="s">
        <v>463</v>
      </c>
      <c r="D450" s="45" t="s">
        <v>6</v>
      </c>
      <c r="E450" s="37" t="s">
        <v>1108</v>
      </c>
      <c r="F450" s="37" t="s">
        <v>1583</v>
      </c>
      <c r="G450" s="35" t="s">
        <v>573</v>
      </c>
      <c r="H450" s="37" t="s">
        <v>610</v>
      </c>
      <c r="I450" s="37" t="s">
        <v>1352</v>
      </c>
      <c r="J450" s="37" t="s">
        <v>578</v>
      </c>
      <c r="K450" s="37" t="s">
        <v>1110</v>
      </c>
      <c r="L450" s="37" t="s">
        <v>567</v>
      </c>
      <c r="M450" s="37"/>
      <c r="N450" s="37" t="s">
        <v>1111</v>
      </c>
      <c r="O450" s="37"/>
      <c r="P450" s="37" t="s">
        <v>569</v>
      </c>
      <c r="Q450" s="37"/>
      <c r="R450" s="37" t="s">
        <v>570</v>
      </c>
      <c r="S450" s="37" t="s">
        <v>559</v>
      </c>
      <c r="T450" s="37" t="s">
        <v>1584</v>
      </c>
      <c r="U450" s="37"/>
    </row>
    <row r="451" spans="1:21" ht="45" customHeight="1" x14ac:dyDescent="0.25">
      <c r="A451" s="24">
        <v>450</v>
      </c>
      <c r="B451" s="24" t="s">
        <v>464</v>
      </c>
      <c r="C451" s="24" t="s">
        <v>464</v>
      </c>
      <c r="D451" s="45" t="s">
        <v>6</v>
      </c>
      <c r="E451" s="25" t="s">
        <v>1585</v>
      </c>
      <c r="F451" s="25" t="s">
        <v>1586</v>
      </c>
      <c r="G451" s="26" t="s">
        <v>552</v>
      </c>
      <c r="H451" s="25" t="s">
        <v>610</v>
      </c>
      <c r="I451" s="25" t="s">
        <v>1352</v>
      </c>
      <c r="J451" s="25" t="s">
        <v>578</v>
      </c>
      <c r="K451" s="25" t="s">
        <v>611</v>
      </c>
      <c r="L451" s="25" t="s">
        <v>1046</v>
      </c>
      <c r="M451" s="25" t="s">
        <v>1130</v>
      </c>
      <c r="N451" s="25" t="s">
        <v>612</v>
      </c>
      <c r="O451" s="25" t="s">
        <v>568</v>
      </c>
      <c r="P451" s="25" t="s">
        <v>569</v>
      </c>
      <c r="Q451" s="25"/>
      <c r="R451" s="25" t="s">
        <v>570</v>
      </c>
      <c r="S451" s="25" t="s">
        <v>1048</v>
      </c>
      <c r="T451" s="25" t="s">
        <v>1587</v>
      </c>
      <c r="U451" s="25" t="s">
        <v>1050</v>
      </c>
    </row>
    <row r="452" spans="1:21" ht="45" customHeight="1" x14ac:dyDescent="0.25">
      <c r="A452" s="20">
        <v>451</v>
      </c>
      <c r="B452" s="20" t="s">
        <v>465</v>
      </c>
      <c r="C452" s="20" t="s">
        <v>465</v>
      </c>
      <c r="D452" s="46" t="s">
        <v>7</v>
      </c>
      <c r="E452" s="22" t="s">
        <v>550</v>
      </c>
      <c r="F452" s="22" t="s">
        <v>1588</v>
      </c>
      <c r="G452" s="20" t="s">
        <v>573</v>
      </c>
      <c r="H452" s="22" t="s">
        <v>553</v>
      </c>
      <c r="I452" s="22" t="s">
        <v>1589</v>
      </c>
      <c r="J452" s="22" t="s">
        <v>555</v>
      </c>
      <c r="K452" s="22" t="s">
        <v>579</v>
      </c>
      <c r="L452" s="22" t="s">
        <v>557</v>
      </c>
      <c r="M452" s="22"/>
      <c r="N452" s="22"/>
      <c r="O452" s="22"/>
      <c r="P452" s="22"/>
      <c r="Q452" s="22"/>
      <c r="R452" s="22" t="s">
        <v>558</v>
      </c>
      <c r="S452" s="22" t="s">
        <v>559</v>
      </c>
      <c r="T452" s="22" t="s">
        <v>1590</v>
      </c>
      <c r="U452" s="22"/>
    </row>
    <row r="453" spans="1:21" ht="45" customHeight="1" x14ac:dyDescent="0.25">
      <c r="A453" s="24">
        <v>452</v>
      </c>
      <c r="B453" s="24" t="s">
        <v>466</v>
      </c>
      <c r="C453" s="24" t="s">
        <v>466</v>
      </c>
      <c r="D453" s="46" t="s">
        <v>7</v>
      </c>
      <c r="E453" s="25" t="s">
        <v>550</v>
      </c>
      <c r="F453" s="25" t="s">
        <v>1591</v>
      </c>
      <c r="G453" s="24" t="s">
        <v>573</v>
      </c>
      <c r="H453" s="25" t="s">
        <v>553</v>
      </c>
      <c r="I453" s="25" t="s">
        <v>1589</v>
      </c>
      <c r="J453" s="25" t="s">
        <v>555</v>
      </c>
      <c r="K453" s="25" t="s">
        <v>556</v>
      </c>
      <c r="L453" s="25" t="s">
        <v>557</v>
      </c>
      <c r="M453" s="25"/>
      <c r="N453" s="25"/>
      <c r="O453" s="25"/>
      <c r="P453" s="25"/>
      <c r="Q453" s="25"/>
      <c r="R453" s="25" t="s">
        <v>558</v>
      </c>
      <c r="S453" s="25" t="s">
        <v>559</v>
      </c>
      <c r="T453" s="25" t="s">
        <v>1592</v>
      </c>
      <c r="U453" s="25"/>
    </row>
    <row r="454" spans="1:21" ht="45" customHeight="1" x14ac:dyDescent="0.25">
      <c r="A454" s="20">
        <v>453</v>
      </c>
      <c r="B454" s="20" t="s">
        <v>467</v>
      </c>
      <c r="C454" s="20" t="s">
        <v>467</v>
      </c>
      <c r="D454" s="46" t="s">
        <v>7</v>
      </c>
      <c r="E454" s="22" t="s">
        <v>853</v>
      </c>
      <c r="F454" s="22" t="s">
        <v>1593</v>
      </c>
      <c r="G454" s="20" t="s">
        <v>573</v>
      </c>
      <c r="H454" s="22" t="s">
        <v>553</v>
      </c>
      <c r="I454" s="22" t="s">
        <v>1589</v>
      </c>
      <c r="J454" s="22" t="s">
        <v>855</v>
      </c>
      <c r="K454" s="22" t="s">
        <v>556</v>
      </c>
      <c r="L454" s="22" t="s">
        <v>557</v>
      </c>
      <c r="M454" s="22"/>
      <c r="N454" s="22"/>
      <c r="O454" s="22"/>
      <c r="P454" s="22"/>
      <c r="Q454" s="22"/>
      <c r="R454" s="22" t="s">
        <v>558</v>
      </c>
      <c r="S454" s="22" t="s">
        <v>559</v>
      </c>
      <c r="T454" s="22" t="s">
        <v>1594</v>
      </c>
      <c r="U454" s="22"/>
    </row>
    <row r="455" spans="1:21" ht="45" customHeight="1" x14ac:dyDescent="0.25">
      <c r="A455" s="24">
        <v>454</v>
      </c>
      <c r="B455" s="24" t="s">
        <v>468</v>
      </c>
      <c r="C455" s="24" t="s">
        <v>468</v>
      </c>
      <c r="D455" s="46" t="s">
        <v>7</v>
      </c>
      <c r="E455" s="25" t="s">
        <v>550</v>
      </c>
      <c r="F455" s="25" t="s">
        <v>1595</v>
      </c>
      <c r="G455" s="24" t="s">
        <v>573</v>
      </c>
      <c r="H455" s="25" t="s">
        <v>553</v>
      </c>
      <c r="I455" s="25" t="s">
        <v>1589</v>
      </c>
      <c r="J455" s="25" t="s">
        <v>555</v>
      </c>
      <c r="K455" s="25" t="s">
        <v>556</v>
      </c>
      <c r="L455" s="25" t="s">
        <v>557</v>
      </c>
      <c r="M455" s="25"/>
      <c r="N455" s="25"/>
      <c r="O455" s="25"/>
      <c r="P455" s="25"/>
      <c r="Q455" s="25"/>
      <c r="R455" s="25" t="s">
        <v>558</v>
      </c>
      <c r="S455" s="25" t="s">
        <v>559</v>
      </c>
      <c r="T455" s="25" t="s">
        <v>1596</v>
      </c>
      <c r="U455" s="25"/>
    </row>
    <row r="456" spans="1:21" ht="45" customHeight="1" x14ac:dyDescent="0.25">
      <c r="A456" s="20">
        <v>455</v>
      </c>
      <c r="B456" s="20" t="s">
        <v>469</v>
      </c>
      <c r="C456" s="20" t="s">
        <v>469</v>
      </c>
      <c r="D456" s="46" t="s">
        <v>7</v>
      </c>
      <c r="E456" s="22" t="s">
        <v>1597</v>
      </c>
      <c r="F456" s="22" t="s">
        <v>1598</v>
      </c>
      <c r="G456" s="20" t="s">
        <v>573</v>
      </c>
      <c r="H456" s="22" t="s">
        <v>553</v>
      </c>
      <c r="I456" s="22" t="s">
        <v>1589</v>
      </c>
      <c r="J456" s="22" t="s">
        <v>555</v>
      </c>
      <c r="K456" s="22" t="s">
        <v>556</v>
      </c>
      <c r="L456" s="22" t="s">
        <v>557</v>
      </c>
      <c r="M456" s="22"/>
      <c r="N456" s="22"/>
      <c r="O456" s="22"/>
      <c r="P456" s="22"/>
      <c r="Q456" s="22"/>
      <c r="R456" s="22" t="s">
        <v>558</v>
      </c>
      <c r="S456" s="22" t="s">
        <v>559</v>
      </c>
      <c r="T456" s="22" t="s">
        <v>1599</v>
      </c>
      <c r="U456" s="22"/>
    </row>
    <row r="457" spans="1:21" ht="45" customHeight="1" x14ac:dyDescent="0.25">
      <c r="A457" s="24">
        <v>456</v>
      </c>
      <c r="B457" s="24" t="s">
        <v>470</v>
      </c>
      <c r="C457" s="24" t="s">
        <v>470</v>
      </c>
      <c r="D457" s="46" t="s">
        <v>7</v>
      </c>
      <c r="E457" s="25" t="s">
        <v>1597</v>
      </c>
      <c r="F457" s="25" t="s">
        <v>1600</v>
      </c>
      <c r="G457" s="24" t="s">
        <v>573</v>
      </c>
      <c r="H457" s="25" t="s">
        <v>553</v>
      </c>
      <c r="I457" s="25" t="s">
        <v>1589</v>
      </c>
      <c r="J457" s="25" t="s">
        <v>555</v>
      </c>
      <c r="K457" s="25" t="s">
        <v>556</v>
      </c>
      <c r="L457" s="25" t="s">
        <v>557</v>
      </c>
      <c r="M457" s="25"/>
      <c r="N457" s="25"/>
      <c r="O457" s="25"/>
      <c r="P457" s="25"/>
      <c r="Q457" s="25"/>
      <c r="R457" s="25" t="s">
        <v>558</v>
      </c>
      <c r="S457" s="25" t="s">
        <v>559</v>
      </c>
      <c r="T457" s="25" t="s">
        <v>1601</v>
      </c>
      <c r="U457" s="25"/>
    </row>
    <row r="458" spans="1:21" ht="45" customHeight="1" x14ac:dyDescent="0.25">
      <c r="A458" s="20">
        <v>457</v>
      </c>
      <c r="B458" s="20" t="s">
        <v>471</v>
      </c>
      <c r="C458" s="20" t="s">
        <v>471</v>
      </c>
      <c r="D458" s="46" t="s">
        <v>7</v>
      </c>
      <c r="E458" s="22" t="s">
        <v>1585</v>
      </c>
      <c r="F458" s="22" t="s">
        <v>1602</v>
      </c>
      <c r="G458" s="23" t="s">
        <v>552</v>
      </c>
      <c r="H458" s="22" t="s">
        <v>610</v>
      </c>
      <c r="I458" s="22" t="s">
        <v>1589</v>
      </c>
      <c r="J458" s="22" t="s">
        <v>578</v>
      </c>
      <c r="K458" s="22" t="s">
        <v>611</v>
      </c>
      <c r="L458" s="22" t="s">
        <v>567</v>
      </c>
      <c r="M458" s="22"/>
      <c r="N458" s="22" t="s">
        <v>612</v>
      </c>
      <c r="O458" s="22" t="s">
        <v>568</v>
      </c>
      <c r="P458" s="22" t="s">
        <v>569</v>
      </c>
      <c r="Q458" s="22"/>
      <c r="R458" s="22" t="s">
        <v>570</v>
      </c>
      <c r="S458" s="22" t="s">
        <v>559</v>
      </c>
      <c r="T458" s="22" t="s">
        <v>1603</v>
      </c>
      <c r="U458" s="22" t="s">
        <v>561</v>
      </c>
    </row>
    <row r="459" spans="1:21" ht="45" customHeight="1" x14ac:dyDescent="0.25">
      <c r="A459" s="24">
        <v>458</v>
      </c>
      <c r="B459" s="24" t="s">
        <v>472</v>
      </c>
      <c r="C459" s="24" t="s">
        <v>472</v>
      </c>
      <c r="D459" s="46" t="s">
        <v>7</v>
      </c>
      <c r="E459" s="25" t="s">
        <v>1585</v>
      </c>
      <c r="F459" s="25" t="s">
        <v>1604</v>
      </c>
      <c r="G459" s="26" t="s">
        <v>552</v>
      </c>
      <c r="H459" s="25" t="s">
        <v>610</v>
      </c>
      <c r="I459" s="25" t="s">
        <v>1589</v>
      </c>
      <c r="J459" s="25" t="s">
        <v>578</v>
      </c>
      <c r="K459" s="25" t="s">
        <v>611</v>
      </c>
      <c r="L459" s="25" t="s">
        <v>567</v>
      </c>
      <c r="M459" s="25"/>
      <c r="N459" s="25" t="s">
        <v>612</v>
      </c>
      <c r="O459" s="25" t="s">
        <v>568</v>
      </c>
      <c r="P459" s="25" t="s">
        <v>569</v>
      </c>
      <c r="Q459" s="25"/>
      <c r="R459" s="25" t="s">
        <v>570</v>
      </c>
      <c r="S459" s="25" t="s">
        <v>559</v>
      </c>
      <c r="T459" s="25" t="s">
        <v>1605</v>
      </c>
      <c r="U459" s="25" t="s">
        <v>561</v>
      </c>
    </row>
    <row r="460" spans="1:21" ht="45" customHeight="1" x14ac:dyDescent="0.25">
      <c r="A460" s="20">
        <v>459</v>
      </c>
      <c r="B460" s="20" t="s">
        <v>473</v>
      </c>
      <c r="C460" s="20" t="s">
        <v>473</v>
      </c>
      <c r="D460" s="46" t="s">
        <v>7</v>
      </c>
      <c r="E460" s="22" t="s">
        <v>1306</v>
      </c>
      <c r="F460" s="22" t="s">
        <v>1606</v>
      </c>
      <c r="G460" s="20" t="s">
        <v>573</v>
      </c>
      <c r="H460" s="22" t="s">
        <v>553</v>
      </c>
      <c r="I460" s="22" t="s">
        <v>1589</v>
      </c>
      <c r="J460" s="22" t="s">
        <v>555</v>
      </c>
      <c r="K460" s="22" t="s">
        <v>1418</v>
      </c>
      <c r="L460" s="22" t="s">
        <v>557</v>
      </c>
      <c r="M460" s="22"/>
      <c r="N460" s="22" t="s">
        <v>1308</v>
      </c>
      <c r="O460" s="22"/>
      <c r="P460" s="22"/>
      <c r="Q460" s="22"/>
      <c r="R460" s="22" t="s">
        <v>558</v>
      </c>
      <c r="S460" s="22" t="s">
        <v>559</v>
      </c>
      <c r="T460" s="22" t="s">
        <v>1607</v>
      </c>
      <c r="U460" s="22"/>
    </row>
    <row r="461" spans="1:21" ht="45" customHeight="1" x14ac:dyDescent="0.25">
      <c r="A461" s="24">
        <v>460</v>
      </c>
      <c r="B461" s="24" t="s">
        <v>474</v>
      </c>
      <c r="C461" s="24" t="s">
        <v>474</v>
      </c>
      <c r="D461" s="47" t="s">
        <v>8</v>
      </c>
      <c r="E461" s="25" t="s">
        <v>1020</v>
      </c>
      <c r="F461" s="25" t="s">
        <v>1608</v>
      </c>
      <c r="G461" s="24" t="s">
        <v>573</v>
      </c>
      <c r="H461" s="25" t="s">
        <v>553</v>
      </c>
      <c r="I461" s="25" t="s">
        <v>670</v>
      </c>
      <c r="J461" s="25" t="s">
        <v>555</v>
      </c>
      <c r="K461" s="25" t="s">
        <v>556</v>
      </c>
      <c r="L461" s="25" t="s">
        <v>557</v>
      </c>
      <c r="M461" s="25"/>
      <c r="N461" s="25"/>
      <c r="O461" s="25"/>
      <c r="P461" s="25"/>
      <c r="Q461" s="25"/>
      <c r="R461" s="25" t="s">
        <v>558</v>
      </c>
      <c r="S461" s="25" t="s">
        <v>559</v>
      </c>
      <c r="T461" s="25" t="s">
        <v>1609</v>
      </c>
      <c r="U461" s="25"/>
    </row>
    <row r="462" spans="1:21" ht="45" customHeight="1" x14ac:dyDescent="0.25">
      <c r="A462" s="48">
        <v>461</v>
      </c>
      <c r="B462" s="48" t="s">
        <v>475</v>
      </c>
      <c r="C462" s="48" t="s">
        <v>475</v>
      </c>
      <c r="D462" s="47" t="s">
        <v>8</v>
      </c>
      <c r="E462" s="49" t="s">
        <v>608</v>
      </c>
      <c r="F462" s="49" t="s">
        <v>1610</v>
      </c>
      <c r="G462" s="50" t="s">
        <v>552</v>
      </c>
      <c r="H462" s="49" t="s">
        <v>610</v>
      </c>
      <c r="I462" s="49" t="s">
        <v>670</v>
      </c>
      <c r="J462" s="49" t="s">
        <v>578</v>
      </c>
      <c r="K462" s="49" t="s">
        <v>611</v>
      </c>
      <c r="L462" s="49" t="s">
        <v>567</v>
      </c>
      <c r="M462" s="49"/>
      <c r="N462" s="49" t="s">
        <v>612</v>
      </c>
      <c r="O462" s="49" t="s">
        <v>568</v>
      </c>
      <c r="P462" s="49" t="s">
        <v>569</v>
      </c>
      <c r="Q462" s="49"/>
      <c r="R462" s="49" t="s">
        <v>570</v>
      </c>
      <c r="S462" s="49" t="s">
        <v>559</v>
      </c>
      <c r="T462" s="49" t="s">
        <v>1611</v>
      </c>
      <c r="U462" s="49" t="s">
        <v>591</v>
      </c>
    </row>
    <row r="463" spans="1:21" ht="45" customHeight="1" x14ac:dyDescent="0.25">
      <c r="A463" s="24">
        <v>462</v>
      </c>
      <c r="B463" s="24" t="s">
        <v>476</v>
      </c>
      <c r="C463" s="24" t="s">
        <v>476</v>
      </c>
      <c r="D463" s="47" t="s">
        <v>8</v>
      </c>
      <c r="E463" s="25" t="s">
        <v>786</v>
      </c>
      <c r="F463" s="25" t="s">
        <v>1612</v>
      </c>
      <c r="G463" s="24" t="s">
        <v>573</v>
      </c>
      <c r="H463" s="25" t="s">
        <v>700</v>
      </c>
      <c r="I463" s="25" t="s">
        <v>670</v>
      </c>
      <c r="J463" s="25" t="s">
        <v>1613</v>
      </c>
      <c r="K463" s="25" t="s">
        <v>556</v>
      </c>
      <c r="L463" s="25" t="s">
        <v>557</v>
      </c>
      <c r="M463" s="25"/>
      <c r="N463" s="25"/>
      <c r="O463" s="25"/>
      <c r="P463" s="25"/>
      <c r="Q463" s="25"/>
      <c r="R463" s="25" t="s">
        <v>558</v>
      </c>
      <c r="S463" s="25" t="s">
        <v>559</v>
      </c>
      <c r="T463" s="25" t="s">
        <v>1614</v>
      </c>
      <c r="U463" s="25"/>
    </row>
    <row r="464" spans="1:21" ht="45" customHeight="1" x14ac:dyDescent="0.25">
      <c r="A464" s="48">
        <v>463</v>
      </c>
      <c r="B464" s="48" t="s">
        <v>477</v>
      </c>
      <c r="C464" s="48" t="s">
        <v>477</v>
      </c>
      <c r="D464" s="47" t="s">
        <v>8</v>
      </c>
      <c r="E464" s="49" t="s">
        <v>1117</v>
      </c>
      <c r="F464" s="49" t="s">
        <v>1615</v>
      </c>
      <c r="G464" s="50" t="s">
        <v>552</v>
      </c>
      <c r="H464" s="49" t="s">
        <v>610</v>
      </c>
      <c r="I464" s="49" t="s">
        <v>670</v>
      </c>
      <c r="J464" s="49" t="s">
        <v>578</v>
      </c>
      <c r="K464" s="49" t="s">
        <v>811</v>
      </c>
      <c r="L464" s="49" t="s">
        <v>567</v>
      </c>
      <c r="M464" s="49"/>
      <c r="N464" s="49" t="s">
        <v>602</v>
      </c>
      <c r="O464" s="49" t="s">
        <v>568</v>
      </c>
      <c r="P464" s="49" t="s">
        <v>569</v>
      </c>
      <c r="Q464" s="49"/>
      <c r="R464" s="49" t="s">
        <v>570</v>
      </c>
      <c r="S464" s="49" t="s">
        <v>559</v>
      </c>
      <c r="T464" s="49" t="s">
        <v>1616</v>
      </c>
      <c r="U464" s="49" t="s">
        <v>561</v>
      </c>
    </row>
    <row r="465" spans="1:21" ht="45" customHeight="1" x14ac:dyDescent="0.25">
      <c r="A465" s="24">
        <v>464</v>
      </c>
      <c r="B465" s="24" t="s">
        <v>478</v>
      </c>
      <c r="C465" s="24" t="s">
        <v>478</v>
      </c>
      <c r="D465" s="51" t="s">
        <v>9</v>
      </c>
      <c r="E465" s="25" t="s">
        <v>550</v>
      </c>
      <c r="F465" s="25" t="s">
        <v>1617</v>
      </c>
      <c r="G465" s="24" t="s">
        <v>573</v>
      </c>
      <c r="H465" s="25" t="s">
        <v>564</v>
      </c>
      <c r="I465" s="25" t="s">
        <v>1589</v>
      </c>
      <c r="J465" s="25" t="s">
        <v>578</v>
      </c>
      <c r="K465" s="25" t="s">
        <v>556</v>
      </c>
      <c r="L465" s="25" t="s">
        <v>696</v>
      </c>
      <c r="M465" s="25"/>
      <c r="N465" s="25"/>
      <c r="O465" s="25"/>
      <c r="P465" s="25"/>
      <c r="Q465" s="25" t="s">
        <v>635</v>
      </c>
      <c r="R465" s="25" t="s">
        <v>558</v>
      </c>
      <c r="S465" s="25" t="s">
        <v>559</v>
      </c>
      <c r="T465" s="25" t="s">
        <v>1618</v>
      </c>
      <c r="U465" s="25"/>
    </row>
    <row r="466" spans="1:21" ht="45" customHeight="1" x14ac:dyDescent="0.25">
      <c r="A466" s="32">
        <v>465</v>
      </c>
      <c r="B466" s="32" t="s">
        <v>479</v>
      </c>
      <c r="C466" s="32" t="s">
        <v>479</v>
      </c>
      <c r="D466" s="51" t="s">
        <v>9</v>
      </c>
      <c r="E466" s="33" t="s">
        <v>550</v>
      </c>
      <c r="F466" s="33" t="s">
        <v>1619</v>
      </c>
      <c r="G466" s="32" t="s">
        <v>573</v>
      </c>
      <c r="H466" s="33" t="s">
        <v>564</v>
      </c>
      <c r="I466" s="33" t="s">
        <v>1589</v>
      </c>
      <c r="J466" s="33" t="s">
        <v>578</v>
      </c>
      <c r="K466" s="33" t="s">
        <v>556</v>
      </c>
      <c r="L466" s="33" t="s">
        <v>696</v>
      </c>
      <c r="M466" s="33"/>
      <c r="N466" s="33"/>
      <c r="O466" s="33"/>
      <c r="P466" s="33"/>
      <c r="Q466" s="33" t="s">
        <v>635</v>
      </c>
      <c r="R466" s="33" t="s">
        <v>558</v>
      </c>
      <c r="S466" s="33" t="s">
        <v>559</v>
      </c>
      <c r="T466" s="33" t="s">
        <v>1620</v>
      </c>
      <c r="U466" s="33"/>
    </row>
    <row r="467" spans="1:21" ht="45" customHeight="1" x14ac:dyDescent="0.25">
      <c r="A467" s="24">
        <v>466</v>
      </c>
      <c r="B467" s="24" t="s">
        <v>480</v>
      </c>
      <c r="C467" s="24" t="s">
        <v>480</v>
      </c>
      <c r="D467" s="51" t="s">
        <v>9</v>
      </c>
      <c r="E467" s="25" t="s">
        <v>1245</v>
      </c>
      <c r="F467" s="25" t="s">
        <v>1621</v>
      </c>
      <c r="G467" s="24" t="s">
        <v>573</v>
      </c>
      <c r="H467" s="25" t="s">
        <v>564</v>
      </c>
      <c r="I467" s="25" t="s">
        <v>1589</v>
      </c>
      <c r="J467" s="25" t="s">
        <v>578</v>
      </c>
      <c r="K467" s="25" t="s">
        <v>1247</v>
      </c>
      <c r="L467" s="25" t="s">
        <v>557</v>
      </c>
      <c r="M467" s="25"/>
      <c r="N467" s="25" t="s">
        <v>619</v>
      </c>
      <c r="O467" s="25"/>
      <c r="P467" s="25"/>
      <c r="Q467" s="25"/>
      <c r="R467" s="25" t="s">
        <v>558</v>
      </c>
      <c r="S467" s="25" t="s">
        <v>559</v>
      </c>
      <c r="T467" s="25" t="s">
        <v>1622</v>
      </c>
      <c r="U467" s="25"/>
    </row>
    <row r="468" spans="1:21" ht="45" customHeight="1" x14ac:dyDescent="0.25">
      <c r="A468" s="32">
        <v>467</v>
      </c>
      <c r="B468" s="32" t="s">
        <v>481</v>
      </c>
      <c r="C468" s="32" t="s">
        <v>481</v>
      </c>
      <c r="D468" s="51" t="s">
        <v>9</v>
      </c>
      <c r="E468" s="33" t="s">
        <v>1245</v>
      </c>
      <c r="F468" s="33" t="s">
        <v>1623</v>
      </c>
      <c r="G468" s="32" t="s">
        <v>573</v>
      </c>
      <c r="H468" s="33" t="s">
        <v>564</v>
      </c>
      <c r="I468" s="33" t="s">
        <v>1589</v>
      </c>
      <c r="J468" s="33" t="s">
        <v>578</v>
      </c>
      <c r="K468" s="33" t="s">
        <v>1247</v>
      </c>
      <c r="L468" s="33" t="s">
        <v>557</v>
      </c>
      <c r="M468" s="33"/>
      <c r="N468" s="33" t="s">
        <v>619</v>
      </c>
      <c r="O468" s="33"/>
      <c r="P468" s="33"/>
      <c r="Q468" s="33"/>
      <c r="R468" s="33" t="s">
        <v>558</v>
      </c>
      <c r="S468" s="33" t="s">
        <v>559</v>
      </c>
      <c r="T468" s="33" t="s">
        <v>1624</v>
      </c>
      <c r="U468" s="33"/>
    </row>
    <row r="469" spans="1:21" ht="45" customHeight="1" x14ac:dyDescent="0.25">
      <c r="A469" s="24">
        <v>468</v>
      </c>
      <c r="B469" s="24" t="s">
        <v>482</v>
      </c>
      <c r="C469" s="24" t="s">
        <v>482</v>
      </c>
      <c r="D469" s="51" t="s">
        <v>9</v>
      </c>
      <c r="E469" s="25" t="s">
        <v>977</v>
      </c>
      <c r="F469" s="25" t="s">
        <v>1625</v>
      </c>
      <c r="G469" s="24" t="s">
        <v>573</v>
      </c>
      <c r="H469" s="25" t="s">
        <v>564</v>
      </c>
      <c r="I469" s="25" t="s">
        <v>1589</v>
      </c>
      <c r="J469" s="25" t="s">
        <v>578</v>
      </c>
      <c r="K469" s="25" t="s">
        <v>979</v>
      </c>
      <c r="L469" s="25" t="s">
        <v>696</v>
      </c>
      <c r="M469" s="25"/>
      <c r="N469" s="25" t="s">
        <v>986</v>
      </c>
      <c r="O469" s="25"/>
      <c r="P469" s="25"/>
      <c r="Q469" s="25" t="s">
        <v>635</v>
      </c>
      <c r="R469" s="25" t="s">
        <v>558</v>
      </c>
      <c r="S469" s="25" t="s">
        <v>559</v>
      </c>
      <c r="T469" s="25" t="s">
        <v>1626</v>
      </c>
      <c r="U469" s="25"/>
    </row>
    <row r="470" spans="1:21" ht="45" customHeight="1" x14ac:dyDescent="0.25">
      <c r="A470" s="32">
        <v>469</v>
      </c>
      <c r="B470" s="32" t="s">
        <v>483</v>
      </c>
      <c r="C470" s="32" t="s">
        <v>483</v>
      </c>
      <c r="D470" s="51" t="s">
        <v>9</v>
      </c>
      <c r="E470" s="33" t="s">
        <v>977</v>
      </c>
      <c r="F470" s="33" t="s">
        <v>1627</v>
      </c>
      <c r="G470" s="32" t="s">
        <v>573</v>
      </c>
      <c r="H470" s="33" t="s">
        <v>564</v>
      </c>
      <c r="I470" s="33" t="s">
        <v>1589</v>
      </c>
      <c r="J470" s="33" t="s">
        <v>578</v>
      </c>
      <c r="K470" s="33" t="s">
        <v>979</v>
      </c>
      <c r="L470" s="33" t="s">
        <v>696</v>
      </c>
      <c r="M470" s="33"/>
      <c r="N470" s="33" t="s">
        <v>986</v>
      </c>
      <c r="O470" s="33"/>
      <c r="P470" s="33"/>
      <c r="Q470" s="33" t="s">
        <v>635</v>
      </c>
      <c r="R470" s="33" t="s">
        <v>558</v>
      </c>
      <c r="S470" s="33" t="s">
        <v>559</v>
      </c>
      <c r="T470" s="33" t="s">
        <v>1628</v>
      </c>
      <c r="U470" s="33"/>
    </row>
    <row r="471" spans="1:21" ht="45" customHeight="1" x14ac:dyDescent="0.25">
      <c r="A471" s="24">
        <v>470</v>
      </c>
      <c r="B471" s="24" t="s">
        <v>484</v>
      </c>
      <c r="C471" s="24" t="s">
        <v>484</v>
      </c>
      <c r="D471" s="52" t="s">
        <v>10</v>
      </c>
      <c r="E471" s="25" t="s">
        <v>1306</v>
      </c>
      <c r="F471" s="25" t="s">
        <v>1629</v>
      </c>
      <c r="G471" s="24" t="s">
        <v>573</v>
      </c>
      <c r="H471" s="25" t="s">
        <v>553</v>
      </c>
      <c r="I471" s="25" t="s">
        <v>1630</v>
      </c>
      <c r="J471" s="25" t="s">
        <v>555</v>
      </c>
      <c r="K471" s="25" t="s">
        <v>1418</v>
      </c>
      <c r="L471" s="25" t="s">
        <v>557</v>
      </c>
      <c r="M471" s="25"/>
      <c r="N471" s="25" t="s">
        <v>1308</v>
      </c>
      <c r="O471" s="25"/>
      <c r="P471" s="25"/>
      <c r="Q471" s="25"/>
      <c r="R471" s="25" t="s">
        <v>558</v>
      </c>
      <c r="S471" s="25" t="s">
        <v>559</v>
      </c>
      <c r="T471" s="25" t="s">
        <v>1631</v>
      </c>
      <c r="U471" s="25"/>
    </row>
    <row r="472" spans="1:21" ht="45" customHeight="1" x14ac:dyDescent="0.25">
      <c r="A472" s="53">
        <v>471</v>
      </c>
      <c r="B472" s="53" t="s">
        <v>485</v>
      </c>
      <c r="C472" s="53" t="s">
        <v>485</v>
      </c>
      <c r="D472" s="52" t="s">
        <v>10</v>
      </c>
      <c r="E472" s="54" t="s">
        <v>550</v>
      </c>
      <c r="F472" s="54" t="s">
        <v>1632</v>
      </c>
      <c r="G472" s="53" t="s">
        <v>573</v>
      </c>
      <c r="H472" s="54" t="s">
        <v>564</v>
      </c>
      <c r="I472" s="54" t="s">
        <v>1630</v>
      </c>
      <c r="J472" s="54" t="s">
        <v>578</v>
      </c>
      <c r="K472" s="54" t="s">
        <v>556</v>
      </c>
      <c r="L472" s="54" t="s">
        <v>557</v>
      </c>
      <c r="M472" s="54"/>
      <c r="N472" s="54"/>
      <c r="O472" s="54"/>
      <c r="P472" s="54"/>
      <c r="Q472" s="54"/>
      <c r="R472" s="54" t="s">
        <v>558</v>
      </c>
      <c r="S472" s="54" t="s">
        <v>559</v>
      </c>
      <c r="T472" s="54" t="s">
        <v>1633</v>
      </c>
      <c r="U472" s="54"/>
    </row>
    <row r="473" spans="1:21" ht="45" customHeight="1" x14ac:dyDescent="0.25">
      <c r="A473" s="24">
        <v>472</v>
      </c>
      <c r="B473" s="24" t="s">
        <v>486</v>
      </c>
      <c r="C473" s="24" t="s">
        <v>486</v>
      </c>
      <c r="D473" s="52" t="s">
        <v>10</v>
      </c>
      <c r="E473" s="25" t="s">
        <v>1306</v>
      </c>
      <c r="F473" s="25" t="s">
        <v>1634</v>
      </c>
      <c r="G473" s="24" t="s">
        <v>573</v>
      </c>
      <c r="H473" s="25" t="s">
        <v>553</v>
      </c>
      <c r="I473" s="25" t="s">
        <v>1630</v>
      </c>
      <c r="J473" s="25" t="s">
        <v>555</v>
      </c>
      <c r="K473" s="25" t="s">
        <v>1418</v>
      </c>
      <c r="L473" s="25" t="s">
        <v>557</v>
      </c>
      <c r="M473" s="25"/>
      <c r="N473" s="25" t="s">
        <v>1308</v>
      </c>
      <c r="O473" s="25"/>
      <c r="P473" s="25"/>
      <c r="Q473" s="25"/>
      <c r="R473" s="25" t="s">
        <v>558</v>
      </c>
      <c r="S473" s="25" t="s">
        <v>559</v>
      </c>
      <c r="T473" s="25" t="s">
        <v>1635</v>
      </c>
      <c r="U473" s="25"/>
    </row>
    <row r="474" spans="1:21" ht="45" customHeight="1" x14ac:dyDescent="0.25">
      <c r="A474" s="53">
        <v>473</v>
      </c>
      <c r="B474" s="53" t="s">
        <v>487</v>
      </c>
      <c r="C474" s="53" t="s">
        <v>487</v>
      </c>
      <c r="D474" s="52" t="s">
        <v>10</v>
      </c>
      <c r="E474" s="54" t="s">
        <v>1306</v>
      </c>
      <c r="F474" s="54" t="s">
        <v>1636</v>
      </c>
      <c r="G474" s="53" t="s">
        <v>573</v>
      </c>
      <c r="H474" s="54" t="s">
        <v>553</v>
      </c>
      <c r="I474" s="54" t="s">
        <v>1630</v>
      </c>
      <c r="J474" s="54" t="s">
        <v>555</v>
      </c>
      <c r="K474" s="54" t="s">
        <v>1418</v>
      </c>
      <c r="L474" s="54" t="s">
        <v>557</v>
      </c>
      <c r="M474" s="54"/>
      <c r="N474" s="54" t="s">
        <v>1308</v>
      </c>
      <c r="O474" s="54"/>
      <c r="P474" s="54"/>
      <c r="Q474" s="54"/>
      <c r="R474" s="54" t="s">
        <v>558</v>
      </c>
      <c r="S474" s="54" t="s">
        <v>559</v>
      </c>
      <c r="T474" s="54" t="s">
        <v>1637</v>
      </c>
      <c r="U474" s="54"/>
    </row>
    <row r="475" spans="1:21" ht="45" customHeight="1" x14ac:dyDescent="0.25">
      <c r="A475" s="24">
        <v>474</v>
      </c>
      <c r="B475" s="24" t="s">
        <v>488</v>
      </c>
      <c r="C475" s="24" t="s">
        <v>488</v>
      </c>
      <c r="D475" s="52" t="s">
        <v>10</v>
      </c>
      <c r="E475" s="25" t="s">
        <v>550</v>
      </c>
      <c r="F475" s="25" t="s">
        <v>1638</v>
      </c>
      <c r="G475" s="24" t="s">
        <v>573</v>
      </c>
      <c r="H475" s="25" t="s">
        <v>553</v>
      </c>
      <c r="I475" s="25" t="s">
        <v>1630</v>
      </c>
      <c r="J475" s="25" t="s">
        <v>555</v>
      </c>
      <c r="K475" s="25" t="s">
        <v>556</v>
      </c>
      <c r="L475" s="25" t="s">
        <v>557</v>
      </c>
      <c r="M475" s="25"/>
      <c r="N475" s="25"/>
      <c r="O475" s="25"/>
      <c r="P475" s="25"/>
      <c r="Q475" s="25"/>
      <c r="R475" s="25" t="s">
        <v>558</v>
      </c>
      <c r="S475" s="25" t="s">
        <v>559</v>
      </c>
      <c r="T475" s="25" t="s">
        <v>1639</v>
      </c>
      <c r="U475" s="25"/>
    </row>
    <row r="476" spans="1:21" ht="45" customHeight="1" x14ac:dyDescent="0.25">
      <c r="A476" s="53">
        <v>475</v>
      </c>
      <c r="B476" s="53" t="s">
        <v>489</v>
      </c>
      <c r="C476" s="53" t="s">
        <v>489</v>
      </c>
      <c r="D476" s="52" t="s">
        <v>10</v>
      </c>
      <c r="E476" s="54" t="s">
        <v>550</v>
      </c>
      <c r="F476" s="54" t="s">
        <v>1640</v>
      </c>
      <c r="G476" s="53" t="s">
        <v>573</v>
      </c>
      <c r="H476" s="54" t="s">
        <v>553</v>
      </c>
      <c r="I476" s="54" t="s">
        <v>1630</v>
      </c>
      <c r="J476" s="54" t="s">
        <v>555</v>
      </c>
      <c r="K476" s="54" t="s">
        <v>556</v>
      </c>
      <c r="L476" s="54" t="s">
        <v>557</v>
      </c>
      <c r="M476" s="54"/>
      <c r="N476" s="54"/>
      <c r="O476" s="54"/>
      <c r="P476" s="54"/>
      <c r="Q476" s="54"/>
      <c r="R476" s="54" t="s">
        <v>558</v>
      </c>
      <c r="S476" s="54" t="s">
        <v>559</v>
      </c>
      <c r="T476" s="54" t="s">
        <v>1641</v>
      </c>
      <c r="U476" s="54"/>
    </row>
    <row r="477" spans="1:21" ht="45" customHeight="1" x14ac:dyDescent="0.25">
      <c r="A477" s="24">
        <v>476</v>
      </c>
      <c r="B477" s="24" t="s">
        <v>490</v>
      </c>
      <c r="C477" s="24" t="s">
        <v>490</v>
      </c>
      <c r="D477" s="52" t="s">
        <v>10</v>
      </c>
      <c r="E477" s="25" t="s">
        <v>550</v>
      </c>
      <c r="F477" s="25" t="s">
        <v>1642</v>
      </c>
      <c r="G477" s="24" t="s">
        <v>573</v>
      </c>
      <c r="H477" s="25" t="s">
        <v>700</v>
      </c>
      <c r="I477" s="25" t="s">
        <v>1630</v>
      </c>
      <c r="J477" s="25" t="s">
        <v>708</v>
      </c>
      <c r="K477" s="25" t="s">
        <v>556</v>
      </c>
      <c r="L477" s="25" t="s">
        <v>557</v>
      </c>
      <c r="M477" s="25"/>
      <c r="N477" s="25"/>
      <c r="O477" s="25"/>
      <c r="P477" s="25"/>
      <c r="Q477" s="25"/>
      <c r="R477" s="25" t="s">
        <v>558</v>
      </c>
      <c r="S477" s="25" t="s">
        <v>559</v>
      </c>
      <c r="T477" s="25" t="s">
        <v>1643</v>
      </c>
      <c r="U477" s="25"/>
    </row>
    <row r="478" spans="1:21" ht="45" customHeight="1" x14ac:dyDescent="0.25">
      <c r="A478" s="53">
        <v>477</v>
      </c>
      <c r="B478" s="53" t="s">
        <v>491</v>
      </c>
      <c r="C478" s="53" t="s">
        <v>491</v>
      </c>
      <c r="D478" s="52" t="s">
        <v>10</v>
      </c>
      <c r="E478" s="54" t="s">
        <v>1306</v>
      </c>
      <c r="F478" s="54" t="s">
        <v>1644</v>
      </c>
      <c r="G478" s="53" t="s">
        <v>573</v>
      </c>
      <c r="H478" s="54" t="s">
        <v>553</v>
      </c>
      <c r="I478" s="54" t="s">
        <v>1630</v>
      </c>
      <c r="J478" s="54" t="s">
        <v>555</v>
      </c>
      <c r="K478" s="54" t="s">
        <v>1418</v>
      </c>
      <c r="L478" s="54" t="s">
        <v>557</v>
      </c>
      <c r="M478" s="54"/>
      <c r="N478" s="54" t="s">
        <v>1308</v>
      </c>
      <c r="O478" s="54"/>
      <c r="P478" s="54"/>
      <c r="Q478" s="54"/>
      <c r="R478" s="54" t="s">
        <v>558</v>
      </c>
      <c r="S478" s="54" t="s">
        <v>559</v>
      </c>
      <c r="T478" s="54" t="s">
        <v>1645</v>
      </c>
      <c r="U478" s="54"/>
    </row>
    <row r="479" spans="1:21" ht="45" customHeight="1" x14ac:dyDescent="0.25">
      <c r="A479" s="24">
        <v>478</v>
      </c>
      <c r="B479" s="24" t="s">
        <v>492</v>
      </c>
      <c r="C479" s="24" t="s">
        <v>492</v>
      </c>
      <c r="D479" s="52" t="s">
        <v>10</v>
      </c>
      <c r="E479" s="25" t="s">
        <v>1306</v>
      </c>
      <c r="F479" s="25" t="s">
        <v>1646</v>
      </c>
      <c r="G479" s="24" t="s">
        <v>573</v>
      </c>
      <c r="H479" s="25" t="s">
        <v>553</v>
      </c>
      <c r="I479" s="25" t="s">
        <v>1630</v>
      </c>
      <c r="J479" s="25" t="s">
        <v>555</v>
      </c>
      <c r="K479" s="25" t="s">
        <v>1418</v>
      </c>
      <c r="L479" s="25" t="s">
        <v>557</v>
      </c>
      <c r="M479" s="25"/>
      <c r="N479" s="25" t="s">
        <v>1308</v>
      </c>
      <c r="O479" s="25"/>
      <c r="P479" s="25"/>
      <c r="Q479" s="25"/>
      <c r="R479" s="25" t="s">
        <v>558</v>
      </c>
      <c r="S479" s="25" t="s">
        <v>559</v>
      </c>
      <c r="T479" s="25" t="s">
        <v>1647</v>
      </c>
      <c r="U479" s="25"/>
    </row>
    <row r="480" spans="1:21" ht="45" customHeight="1" x14ac:dyDescent="0.25">
      <c r="A480" s="53">
        <v>479</v>
      </c>
      <c r="B480" s="53" t="s">
        <v>493</v>
      </c>
      <c r="C480" s="53" t="s">
        <v>493</v>
      </c>
      <c r="D480" s="52" t="s">
        <v>10</v>
      </c>
      <c r="E480" s="54" t="s">
        <v>550</v>
      </c>
      <c r="F480" s="54" t="s">
        <v>1648</v>
      </c>
      <c r="G480" s="55" t="s">
        <v>552</v>
      </c>
      <c r="H480" s="54" t="s">
        <v>553</v>
      </c>
      <c r="I480" s="54" t="s">
        <v>1630</v>
      </c>
      <c r="J480" s="54" t="s">
        <v>555</v>
      </c>
      <c r="K480" s="54" t="s">
        <v>556</v>
      </c>
      <c r="L480" s="54" t="s">
        <v>557</v>
      </c>
      <c r="M480" s="54"/>
      <c r="N480" s="54"/>
      <c r="O480" s="54"/>
      <c r="P480" s="54"/>
      <c r="Q480" s="54"/>
      <c r="R480" s="54" t="s">
        <v>558</v>
      </c>
      <c r="S480" s="54" t="s">
        <v>559</v>
      </c>
      <c r="T480" s="54" t="s">
        <v>1649</v>
      </c>
      <c r="U480" s="54" t="s">
        <v>561</v>
      </c>
    </row>
    <row r="481" spans="1:21" ht="45" customHeight="1" x14ac:dyDescent="0.25">
      <c r="A481" s="24">
        <v>480</v>
      </c>
      <c r="B481" s="24" t="s">
        <v>494</v>
      </c>
      <c r="C481" s="24" t="s">
        <v>494</v>
      </c>
      <c r="D481" s="52" t="s">
        <v>10</v>
      </c>
      <c r="E481" s="25" t="s">
        <v>1306</v>
      </c>
      <c r="F481" s="25" t="s">
        <v>1650</v>
      </c>
      <c r="G481" s="24" t="s">
        <v>573</v>
      </c>
      <c r="H481" s="25" t="s">
        <v>553</v>
      </c>
      <c r="I481" s="25" t="s">
        <v>1630</v>
      </c>
      <c r="J481" s="25" t="s">
        <v>555</v>
      </c>
      <c r="K481" s="25" t="s">
        <v>1418</v>
      </c>
      <c r="L481" s="25" t="s">
        <v>557</v>
      </c>
      <c r="M481" s="25"/>
      <c r="N481" s="25" t="s">
        <v>1308</v>
      </c>
      <c r="O481" s="25"/>
      <c r="P481" s="25"/>
      <c r="Q481" s="25"/>
      <c r="R481" s="25" t="s">
        <v>558</v>
      </c>
      <c r="S481" s="25" t="s">
        <v>559</v>
      </c>
      <c r="T481" s="25" t="s">
        <v>1651</v>
      </c>
      <c r="U481" s="25"/>
    </row>
    <row r="482" spans="1:21" ht="45" customHeight="1" x14ac:dyDescent="0.25">
      <c r="A482" s="53">
        <v>481</v>
      </c>
      <c r="B482" s="53" t="s">
        <v>495</v>
      </c>
      <c r="C482" s="53" t="s">
        <v>495</v>
      </c>
      <c r="D482" s="52" t="s">
        <v>10</v>
      </c>
      <c r="E482" s="54" t="s">
        <v>550</v>
      </c>
      <c r="F482" s="54" t="s">
        <v>1652</v>
      </c>
      <c r="G482" s="55" t="s">
        <v>552</v>
      </c>
      <c r="H482" s="54" t="s">
        <v>564</v>
      </c>
      <c r="I482" s="54" t="s">
        <v>1630</v>
      </c>
      <c r="J482" s="54" t="s">
        <v>578</v>
      </c>
      <c r="K482" s="54" t="s">
        <v>556</v>
      </c>
      <c r="L482" s="54" t="s">
        <v>557</v>
      </c>
      <c r="M482" s="54"/>
      <c r="N482" s="54"/>
      <c r="O482" s="54"/>
      <c r="P482" s="54"/>
      <c r="Q482" s="54"/>
      <c r="R482" s="54" t="s">
        <v>558</v>
      </c>
      <c r="S482" s="54" t="s">
        <v>559</v>
      </c>
      <c r="T482" s="54" t="s">
        <v>1653</v>
      </c>
      <c r="U482" s="54" t="s">
        <v>561</v>
      </c>
    </row>
    <row r="483" spans="1:21" ht="45" customHeight="1" x14ac:dyDescent="0.25">
      <c r="A483" s="24">
        <v>482</v>
      </c>
      <c r="B483" s="24" t="s">
        <v>496</v>
      </c>
      <c r="C483" s="24" t="s">
        <v>496</v>
      </c>
      <c r="D483" s="52" t="s">
        <v>10</v>
      </c>
      <c r="E483" s="25" t="s">
        <v>1654</v>
      </c>
      <c r="F483" s="25" t="s">
        <v>1655</v>
      </c>
      <c r="G483" s="24" t="s">
        <v>573</v>
      </c>
      <c r="H483" s="25" t="s">
        <v>700</v>
      </c>
      <c r="I483" s="25" t="s">
        <v>1630</v>
      </c>
      <c r="J483" s="25" t="s">
        <v>708</v>
      </c>
      <c r="K483" s="25" t="s">
        <v>556</v>
      </c>
      <c r="L483" s="25" t="s">
        <v>557</v>
      </c>
      <c r="M483" s="25"/>
      <c r="N483" s="25"/>
      <c r="O483" s="25"/>
      <c r="P483" s="25"/>
      <c r="Q483" s="25"/>
      <c r="R483" s="25" t="s">
        <v>558</v>
      </c>
      <c r="S483" s="25" t="s">
        <v>559</v>
      </c>
      <c r="T483" s="25" t="s">
        <v>1656</v>
      </c>
      <c r="U483" s="25"/>
    </row>
    <row r="484" spans="1:21" ht="45" customHeight="1" x14ac:dyDescent="0.25">
      <c r="A484" s="53">
        <v>483</v>
      </c>
      <c r="B484" s="53" t="s">
        <v>497</v>
      </c>
      <c r="C484" s="53" t="s">
        <v>497</v>
      </c>
      <c r="D484" s="52" t="s">
        <v>10</v>
      </c>
      <c r="E484" s="54" t="s">
        <v>1306</v>
      </c>
      <c r="F484" s="54" t="s">
        <v>1657</v>
      </c>
      <c r="G484" s="53" t="s">
        <v>573</v>
      </c>
      <c r="H484" s="54" t="s">
        <v>553</v>
      </c>
      <c r="I484" s="54" t="s">
        <v>1630</v>
      </c>
      <c r="J484" s="54" t="s">
        <v>555</v>
      </c>
      <c r="K484" s="54" t="s">
        <v>1418</v>
      </c>
      <c r="L484" s="54" t="s">
        <v>557</v>
      </c>
      <c r="M484" s="54"/>
      <c r="N484" s="54" t="s">
        <v>1308</v>
      </c>
      <c r="O484" s="54"/>
      <c r="P484" s="54"/>
      <c r="Q484" s="54"/>
      <c r="R484" s="54" t="s">
        <v>558</v>
      </c>
      <c r="S484" s="54" t="s">
        <v>559</v>
      </c>
      <c r="T484" s="54" t="s">
        <v>1658</v>
      </c>
      <c r="U484" s="54"/>
    </row>
    <row r="485" spans="1:21" ht="45" customHeight="1" x14ac:dyDescent="0.25">
      <c r="A485" s="24">
        <v>484</v>
      </c>
      <c r="B485" s="24" t="s">
        <v>498</v>
      </c>
      <c r="C485" s="24" t="s">
        <v>498</v>
      </c>
      <c r="D485" s="56" t="s">
        <v>11</v>
      </c>
      <c r="E485" s="25" t="s">
        <v>1245</v>
      </c>
      <c r="F485" s="25" t="s">
        <v>1659</v>
      </c>
      <c r="G485" s="24" t="s">
        <v>573</v>
      </c>
      <c r="H485" s="25" t="s">
        <v>700</v>
      </c>
      <c r="I485" s="25" t="s">
        <v>1660</v>
      </c>
      <c r="J485" s="25" t="s">
        <v>708</v>
      </c>
      <c r="K485" s="25" t="s">
        <v>1247</v>
      </c>
      <c r="L485" s="25" t="s">
        <v>557</v>
      </c>
      <c r="M485" s="25"/>
      <c r="N485" s="25" t="s">
        <v>619</v>
      </c>
      <c r="O485" s="25"/>
      <c r="P485" s="25"/>
      <c r="Q485" s="25"/>
      <c r="R485" s="25" t="s">
        <v>558</v>
      </c>
      <c r="S485" s="25" t="s">
        <v>559</v>
      </c>
      <c r="T485" s="25" t="s">
        <v>1661</v>
      </c>
      <c r="U485" s="25"/>
    </row>
    <row r="486" spans="1:21" ht="45" customHeight="1" x14ac:dyDescent="0.25">
      <c r="A486" s="40">
        <v>485</v>
      </c>
      <c r="B486" s="40" t="s">
        <v>499</v>
      </c>
      <c r="C486" s="40" t="s">
        <v>499</v>
      </c>
      <c r="D486" s="56" t="s">
        <v>11</v>
      </c>
      <c r="E486" s="41" t="s">
        <v>1245</v>
      </c>
      <c r="F486" s="41" t="s">
        <v>1662</v>
      </c>
      <c r="G486" s="40" t="s">
        <v>573</v>
      </c>
      <c r="H486" s="41" t="s">
        <v>553</v>
      </c>
      <c r="I486" s="41" t="s">
        <v>1660</v>
      </c>
      <c r="J486" s="41" t="s">
        <v>555</v>
      </c>
      <c r="K486" s="41" t="s">
        <v>1247</v>
      </c>
      <c r="L486" s="41" t="s">
        <v>557</v>
      </c>
      <c r="M486" s="41"/>
      <c r="N486" s="41" t="s">
        <v>619</v>
      </c>
      <c r="O486" s="41"/>
      <c r="P486" s="41"/>
      <c r="Q486" s="41"/>
      <c r="R486" s="41" t="s">
        <v>558</v>
      </c>
      <c r="S486" s="41" t="s">
        <v>559</v>
      </c>
      <c r="T486" s="41" t="s">
        <v>1663</v>
      </c>
      <c r="U486" s="41"/>
    </row>
    <row r="487" spans="1:21" ht="45" customHeight="1" x14ac:dyDescent="0.25">
      <c r="A487" s="24">
        <v>486</v>
      </c>
      <c r="B487" s="24" t="s">
        <v>500</v>
      </c>
      <c r="C487" s="24" t="s">
        <v>500</v>
      </c>
      <c r="D487" s="56" t="s">
        <v>11</v>
      </c>
      <c r="E487" s="25" t="s">
        <v>668</v>
      </c>
      <c r="F487" s="25" t="s">
        <v>1664</v>
      </c>
      <c r="G487" s="24" t="s">
        <v>573</v>
      </c>
      <c r="H487" s="25" t="s">
        <v>553</v>
      </c>
      <c r="I487" s="25" t="s">
        <v>1660</v>
      </c>
      <c r="J487" s="25" t="s">
        <v>555</v>
      </c>
      <c r="K487" s="25" t="s">
        <v>1247</v>
      </c>
      <c r="L487" s="25" t="s">
        <v>557</v>
      </c>
      <c r="M487" s="25"/>
      <c r="N487" s="25" t="s">
        <v>619</v>
      </c>
      <c r="O487" s="25"/>
      <c r="P487" s="25"/>
      <c r="Q487" s="25"/>
      <c r="R487" s="25" t="s">
        <v>558</v>
      </c>
      <c r="S487" s="25" t="s">
        <v>559</v>
      </c>
      <c r="T487" s="25" t="s">
        <v>1665</v>
      </c>
      <c r="U487" s="25"/>
    </row>
    <row r="488" spans="1:21" ht="45" customHeight="1" x14ac:dyDescent="0.25">
      <c r="A488" s="40">
        <v>487</v>
      </c>
      <c r="B488" s="40" t="s">
        <v>501</v>
      </c>
      <c r="C488" s="40" t="s">
        <v>501</v>
      </c>
      <c r="D488" s="56" t="s">
        <v>11</v>
      </c>
      <c r="E488" s="41" t="s">
        <v>550</v>
      </c>
      <c r="F488" s="41" t="s">
        <v>1666</v>
      </c>
      <c r="G488" s="40" t="s">
        <v>573</v>
      </c>
      <c r="H488" s="41" t="s">
        <v>700</v>
      </c>
      <c r="I488" s="41" t="s">
        <v>1660</v>
      </c>
      <c r="J488" s="41" t="s">
        <v>708</v>
      </c>
      <c r="K488" s="41" t="s">
        <v>556</v>
      </c>
      <c r="L488" s="41" t="s">
        <v>557</v>
      </c>
      <c r="M488" s="41"/>
      <c r="N488" s="41"/>
      <c r="O488" s="41"/>
      <c r="P488" s="41"/>
      <c r="Q488" s="41"/>
      <c r="R488" s="41" t="s">
        <v>558</v>
      </c>
      <c r="S488" s="41" t="s">
        <v>559</v>
      </c>
      <c r="T488" s="41" t="s">
        <v>1667</v>
      </c>
      <c r="U488" s="41"/>
    </row>
    <row r="489" spans="1:21" ht="45" customHeight="1" x14ac:dyDescent="0.25">
      <c r="A489" s="24">
        <v>488</v>
      </c>
      <c r="B489" s="24" t="s">
        <v>502</v>
      </c>
      <c r="C489" s="24" t="s">
        <v>502</v>
      </c>
      <c r="D489" s="56" t="s">
        <v>11</v>
      </c>
      <c r="E489" s="25" t="s">
        <v>1245</v>
      </c>
      <c r="F489" s="25" t="s">
        <v>1668</v>
      </c>
      <c r="G489" s="24" t="s">
        <v>573</v>
      </c>
      <c r="H489" s="25" t="s">
        <v>553</v>
      </c>
      <c r="I489" s="25" t="s">
        <v>1660</v>
      </c>
      <c r="J489" s="25" t="s">
        <v>555</v>
      </c>
      <c r="K489" s="25" t="s">
        <v>1247</v>
      </c>
      <c r="L489" s="25" t="s">
        <v>557</v>
      </c>
      <c r="M489" s="25"/>
      <c r="N489" s="25" t="s">
        <v>619</v>
      </c>
      <c r="O489" s="25"/>
      <c r="P489" s="25"/>
      <c r="Q489" s="25"/>
      <c r="R489" s="25" t="s">
        <v>558</v>
      </c>
      <c r="S489" s="25" t="s">
        <v>559</v>
      </c>
      <c r="T489" s="25" t="s">
        <v>1669</v>
      </c>
      <c r="U489" s="25"/>
    </row>
    <row r="490" spans="1:21" ht="45" customHeight="1" x14ac:dyDescent="0.25">
      <c r="A490" s="40">
        <v>489</v>
      </c>
      <c r="B490" s="40" t="s">
        <v>503</v>
      </c>
      <c r="C490" s="40" t="s">
        <v>503</v>
      </c>
      <c r="D490" s="56" t="s">
        <v>11</v>
      </c>
      <c r="E490" s="41" t="s">
        <v>977</v>
      </c>
      <c r="F490" s="41" t="s">
        <v>1670</v>
      </c>
      <c r="G490" s="40" t="s">
        <v>573</v>
      </c>
      <c r="H490" s="41" t="s">
        <v>553</v>
      </c>
      <c r="I490" s="41" t="s">
        <v>1660</v>
      </c>
      <c r="J490" s="41" t="s">
        <v>555</v>
      </c>
      <c r="K490" s="41" t="s">
        <v>979</v>
      </c>
      <c r="L490" s="41" t="s">
        <v>696</v>
      </c>
      <c r="M490" s="41"/>
      <c r="N490" s="41" t="s">
        <v>619</v>
      </c>
      <c r="O490" s="41"/>
      <c r="P490" s="41"/>
      <c r="Q490" s="41" t="s">
        <v>635</v>
      </c>
      <c r="R490" s="41" t="s">
        <v>558</v>
      </c>
      <c r="S490" s="41" t="s">
        <v>559</v>
      </c>
      <c r="T490" s="41" t="s">
        <v>1671</v>
      </c>
      <c r="U490" s="41"/>
    </row>
    <row r="491" spans="1:21" ht="45" customHeight="1" x14ac:dyDescent="0.25">
      <c r="A491" s="24">
        <v>490</v>
      </c>
      <c r="B491" s="24" t="s">
        <v>504</v>
      </c>
      <c r="C491" s="24" t="s">
        <v>504</v>
      </c>
      <c r="D491" s="56" t="s">
        <v>11</v>
      </c>
      <c r="E491" s="25" t="s">
        <v>1245</v>
      </c>
      <c r="F491" s="25" t="s">
        <v>1672</v>
      </c>
      <c r="G491" s="24" t="s">
        <v>573</v>
      </c>
      <c r="H491" s="25" t="s">
        <v>553</v>
      </c>
      <c r="I491" s="25" t="s">
        <v>1660</v>
      </c>
      <c r="J491" s="25" t="s">
        <v>555</v>
      </c>
      <c r="K491" s="25" t="s">
        <v>1247</v>
      </c>
      <c r="L491" s="25" t="s">
        <v>557</v>
      </c>
      <c r="M491" s="25"/>
      <c r="N491" s="25" t="s">
        <v>619</v>
      </c>
      <c r="O491" s="25"/>
      <c r="P491" s="25"/>
      <c r="Q491" s="25"/>
      <c r="R491" s="25" t="s">
        <v>558</v>
      </c>
      <c r="S491" s="25" t="s">
        <v>559</v>
      </c>
      <c r="T491" s="25" t="s">
        <v>1673</v>
      </c>
      <c r="U491" s="25"/>
    </row>
    <row r="492" spans="1:21" ht="45" customHeight="1" x14ac:dyDescent="0.25">
      <c r="A492" s="40">
        <v>491</v>
      </c>
      <c r="B492" s="40" t="s">
        <v>505</v>
      </c>
      <c r="C492" s="40" t="s">
        <v>505</v>
      </c>
      <c r="D492" s="56" t="s">
        <v>11</v>
      </c>
      <c r="E492" s="41" t="s">
        <v>1245</v>
      </c>
      <c r="F492" s="41" t="s">
        <v>1674</v>
      </c>
      <c r="G492" s="40" t="s">
        <v>573</v>
      </c>
      <c r="H492" s="41" t="s">
        <v>700</v>
      </c>
      <c r="I492" s="41" t="s">
        <v>1660</v>
      </c>
      <c r="J492" s="41" t="s">
        <v>708</v>
      </c>
      <c r="K492" s="41" t="s">
        <v>1247</v>
      </c>
      <c r="L492" s="41" t="s">
        <v>557</v>
      </c>
      <c r="M492" s="41"/>
      <c r="N492" s="41" t="s">
        <v>619</v>
      </c>
      <c r="O492" s="41"/>
      <c r="P492" s="41"/>
      <c r="Q492" s="41"/>
      <c r="R492" s="41" t="s">
        <v>558</v>
      </c>
      <c r="S492" s="41" t="s">
        <v>559</v>
      </c>
      <c r="T492" s="41" t="s">
        <v>1675</v>
      </c>
      <c r="U492" s="41"/>
    </row>
    <row r="493" spans="1:21" ht="45" customHeight="1" x14ac:dyDescent="0.25">
      <c r="A493" s="24">
        <v>492</v>
      </c>
      <c r="B493" s="24" t="s">
        <v>506</v>
      </c>
      <c r="C493" s="24" t="s">
        <v>506</v>
      </c>
      <c r="D493" s="56" t="s">
        <v>11</v>
      </c>
      <c r="E493" s="25" t="s">
        <v>786</v>
      </c>
      <c r="F493" s="25" t="s">
        <v>1676</v>
      </c>
      <c r="G493" s="24" t="s">
        <v>573</v>
      </c>
      <c r="H493" s="25" t="s">
        <v>700</v>
      </c>
      <c r="I493" s="25" t="s">
        <v>1660</v>
      </c>
      <c r="J493" s="25" t="s">
        <v>578</v>
      </c>
      <c r="K493" s="25" t="s">
        <v>1247</v>
      </c>
      <c r="L493" s="25" t="s">
        <v>557</v>
      </c>
      <c r="M493" s="25"/>
      <c r="N493" s="25" t="s">
        <v>619</v>
      </c>
      <c r="O493" s="25"/>
      <c r="P493" s="25"/>
      <c r="Q493" s="25"/>
      <c r="R493" s="25" t="s">
        <v>558</v>
      </c>
      <c r="S493" s="25" t="s">
        <v>559</v>
      </c>
      <c r="T493" s="25" t="s">
        <v>1677</v>
      </c>
      <c r="U493" s="25"/>
    </row>
    <row r="494" spans="1:21" ht="45" customHeight="1" x14ac:dyDescent="0.25">
      <c r="A494" s="40">
        <v>493</v>
      </c>
      <c r="B494" s="40" t="s">
        <v>507</v>
      </c>
      <c r="C494" s="40" t="s">
        <v>507</v>
      </c>
      <c r="D494" s="56" t="s">
        <v>11</v>
      </c>
      <c r="E494" s="41" t="s">
        <v>1245</v>
      </c>
      <c r="F494" s="41" t="s">
        <v>1678</v>
      </c>
      <c r="G494" s="40" t="s">
        <v>573</v>
      </c>
      <c r="H494" s="41" t="s">
        <v>553</v>
      </c>
      <c r="I494" s="41" t="s">
        <v>1660</v>
      </c>
      <c r="J494" s="41" t="s">
        <v>555</v>
      </c>
      <c r="K494" s="41" t="s">
        <v>1247</v>
      </c>
      <c r="L494" s="41" t="s">
        <v>557</v>
      </c>
      <c r="M494" s="41"/>
      <c r="N494" s="41" t="s">
        <v>619</v>
      </c>
      <c r="O494" s="41"/>
      <c r="P494" s="41"/>
      <c r="Q494" s="41"/>
      <c r="R494" s="41" t="s">
        <v>558</v>
      </c>
      <c r="S494" s="41" t="s">
        <v>559</v>
      </c>
      <c r="T494" s="41" t="s">
        <v>1679</v>
      </c>
      <c r="U494" s="41"/>
    </row>
    <row r="495" spans="1:21" ht="45" customHeight="1" x14ac:dyDescent="0.25">
      <c r="A495" s="24">
        <v>494</v>
      </c>
      <c r="B495" s="24" t="s">
        <v>508</v>
      </c>
      <c r="C495" s="24" t="s">
        <v>508</v>
      </c>
      <c r="D495" s="56" t="s">
        <v>11</v>
      </c>
      <c r="E495" s="25" t="s">
        <v>1680</v>
      </c>
      <c r="F495" s="25" t="s">
        <v>1681</v>
      </c>
      <c r="G495" s="24" t="s">
        <v>573</v>
      </c>
      <c r="H495" s="25" t="s">
        <v>610</v>
      </c>
      <c r="I495" s="25" t="s">
        <v>1660</v>
      </c>
      <c r="J495" s="25" t="s">
        <v>578</v>
      </c>
      <c r="K495" s="25" t="s">
        <v>556</v>
      </c>
      <c r="L495" s="25" t="s">
        <v>557</v>
      </c>
      <c r="M495" s="25"/>
      <c r="N495" s="25"/>
      <c r="O495" s="25"/>
      <c r="P495" s="25"/>
      <c r="Q495" s="25"/>
      <c r="R495" s="25" t="s">
        <v>558</v>
      </c>
      <c r="S495" s="25" t="s">
        <v>559</v>
      </c>
      <c r="T495" s="25" t="s">
        <v>1682</v>
      </c>
      <c r="U495" s="25"/>
    </row>
    <row r="496" spans="1:21" ht="45" customHeight="1" x14ac:dyDescent="0.25">
      <c r="A496" s="57">
        <v>495</v>
      </c>
      <c r="B496" s="57" t="s">
        <v>509</v>
      </c>
      <c r="C496" s="57" t="s">
        <v>509</v>
      </c>
      <c r="D496" s="58" t="s">
        <v>12</v>
      </c>
      <c r="E496" s="59" t="s">
        <v>1327</v>
      </c>
      <c r="F496" s="59" t="s">
        <v>1683</v>
      </c>
      <c r="G496" s="57" t="s">
        <v>573</v>
      </c>
      <c r="H496" s="59" t="s">
        <v>700</v>
      </c>
      <c r="I496" s="59" t="s">
        <v>1684</v>
      </c>
      <c r="J496" s="59" t="s">
        <v>708</v>
      </c>
      <c r="K496" s="59" t="s">
        <v>1339</v>
      </c>
      <c r="L496" s="59" t="s">
        <v>557</v>
      </c>
      <c r="M496" s="59"/>
      <c r="N496" s="59" t="s">
        <v>986</v>
      </c>
      <c r="O496" s="59"/>
      <c r="P496" s="59"/>
      <c r="Q496" s="59"/>
      <c r="R496" s="59" t="s">
        <v>558</v>
      </c>
      <c r="S496" s="59" t="s">
        <v>559</v>
      </c>
      <c r="T496" s="59" t="s">
        <v>1685</v>
      </c>
      <c r="U496" s="59"/>
    </row>
    <row r="497" spans="1:21" ht="45" customHeight="1" x14ac:dyDescent="0.25">
      <c r="A497" s="24">
        <v>496</v>
      </c>
      <c r="B497" s="24" t="s">
        <v>510</v>
      </c>
      <c r="C497" s="24" t="s">
        <v>510</v>
      </c>
      <c r="D497" s="58" t="s">
        <v>12</v>
      </c>
      <c r="E497" s="25" t="s">
        <v>1327</v>
      </c>
      <c r="F497" s="25" t="s">
        <v>1686</v>
      </c>
      <c r="G497" s="24" t="s">
        <v>573</v>
      </c>
      <c r="H497" s="25" t="s">
        <v>553</v>
      </c>
      <c r="I497" s="25" t="s">
        <v>1684</v>
      </c>
      <c r="J497" s="25" t="s">
        <v>555</v>
      </c>
      <c r="K497" s="25" t="s">
        <v>1339</v>
      </c>
      <c r="L497" s="25" t="s">
        <v>557</v>
      </c>
      <c r="M497" s="25"/>
      <c r="N497" s="25" t="s">
        <v>986</v>
      </c>
      <c r="O497" s="25"/>
      <c r="P497" s="25"/>
      <c r="Q497" s="25"/>
      <c r="R497" s="25" t="s">
        <v>558</v>
      </c>
      <c r="S497" s="25" t="s">
        <v>559</v>
      </c>
      <c r="T497" s="25" t="s">
        <v>1687</v>
      </c>
      <c r="U497" s="25"/>
    </row>
    <row r="498" spans="1:21" ht="45" customHeight="1" x14ac:dyDescent="0.25">
      <c r="A498" s="57">
        <v>497</v>
      </c>
      <c r="B498" s="57" t="s">
        <v>511</v>
      </c>
      <c r="C498" s="57" t="s">
        <v>511</v>
      </c>
      <c r="D498" s="58" t="s">
        <v>12</v>
      </c>
      <c r="E498" s="59" t="s">
        <v>977</v>
      </c>
      <c r="F498" s="59" t="s">
        <v>1688</v>
      </c>
      <c r="G498" s="57" t="s">
        <v>573</v>
      </c>
      <c r="H498" s="59" t="s">
        <v>553</v>
      </c>
      <c r="I498" s="59" t="s">
        <v>1684</v>
      </c>
      <c r="J498" s="59" t="s">
        <v>555</v>
      </c>
      <c r="K498" s="59" t="s">
        <v>979</v>
      </c>
      <c r="L498" s="59" t="s">
        <v>696</v>
      </c>
      <c r="M498" s="59"/>
      <c r="N498" s="59" t="s">
        <v>986</v>
      </c>
      <c r="O498" s="59"/>
      <c r="P498" s="59"/>
      <c r="Q498" s="59" t="s">
        <v>635</v>
      </c>
      <c r="R498" s="59" t="s">
        <v>558</v>
      </c>
      <c r="S498" s="59" t="s">
        <v>559</v>
      </c>
      <c r="T498" s="59" t="s">
        <v>1689</v>
      </c>
      <c r="U498" s="59"/>
    </row>
    <row r="499" spans="1:21" ht="45" customHeight="1" x14ac:dyDescent="0.25">
      <c r="A499" s="24">
        <v>498</v>
      </c>
      <c r="B499" s="24" t="s">
        <v>512</v>
      </c>
      <c r="C499" s="24" t="s">
        <v>512</v>
      </c>
      <c r="D499" s="58" t="s">
        <v>12</v>
      </c>
      <c r="E499" s="25" t="s">
        <v>977</v>
      </c>
      <c r="F499" s="25" t="s">
        <v>1690</v>
      </c>
      <c r="G499" s="24" t="s">
        <v>573</v>
      </c>
      <c r="H499" s="25" t="s">
        <v>553</v>
      </c>
      <c r="I499" s="25" t="s">
        <v>1684</v>
      </c>
      <c r="J499" s="25" t="s">
        <v>555</v>
      </c>
      <c r="K499" s="25" t="s">
        <v>979</v>
      </c>
      <c r="L499" s="25" t="s">
        <v>696</v>
      </c>
      <c r="M499" s="25"/>
      <c r="N499" s="25" t="s">
        <v>986</v>
      </c>
      <c r="O499" s="25"/>
      <c r="P499" s="25"/>
      <c r="Q499" s="25" t="s">
        <v>635</v>
      </c>
      <c r="R499" s="25" t="s">
        <v>558</v>
      </c>
      <c r="S499" s="25" t="s">
        <v>559</v>
      </c>
      <c r="T499" s="25" t="s">
        <v>1691</v>
      </c>
      <c r="U499" s="25"/>
    </row>
    <row r="500" spans="1:21" ht="45" customHeight="1" x14ac:dyDescent="0.25">
      <c r="A500" s="57">
        <v>499</v>
      </c>
      <c r="B500" s="57" t="s">
        <v>513</v>
      </c>
      <c r="C500" s="57" t="s">
        <v>513</v>
      </c>
      <c r="D500" s="58" t="s">
        <v>12</v>
      </c>
      <c r="E500" s="59" t="s">
        <v>977</v>
      </c>
      <c r="F500" s="59" t="s">
        <v>1692</v>
      </c>
      <c r="G500" s="57" t="s">
        <v>573</v>
      </c>
      <c r="H500" s="59" t="s">
        <v>553</v>
      </c>
      <c r="I500" s="59" t="s">
        <v>1684</v>
      </c>
      <c r="J500" s="59" t="s">
        <v>555</v>
      </c>
      <c r="K500" s="59" t="s">
        <v>979</v>
      </c>
      <c r="L500" s="59" t="s">
        <v>696</v>
      </c>
      <c r="M500" s="59"/>
      <c r="N500" s="59" t="s">
        <v>986</v>
      </c>
      <c r="O500" s="59"/>
      <c r="P500" s="59"/>
      <c r="Q500" s="59" t="s">
        <v>635</v>
      </c>
      <c r="R500" s="59" t="s">
        <v>558</v>
      </c>
      <c r="S500" s="59" t="s">
        <v>559</v>
      </c>
      <c r="T500" s="59" t="s">
        <v>1693</v>
      </c>
      <c r="U500" s="59"/>
    </row>
    <row r="501" spans="1:21" ht="45" customHeight="1" x14ac:dyDescent="0.25">
      <c r="A501" s="24">
        <v>500</v>
      </c>
      <c r="B501" s="24" t="s">
        <v>514</v>
      </c>
      <c r="C501" s="24" t="s">
        <v>514</v>
      </c>
      <c r="D501" s="58" t="s">
        <v>12</v>
      </c>
      <c r="E501" s="25" t="s">
        <v>1327</v>
      </c>
      <c r="F501" s="25" t="s">
        <v>1694</v>
      </c>
      <c r="G501" s="24" t="s">
        <v>573</v>
      </c>
      <c r="H501" s="25" t="s">
        <v>553</v>
      </c>
      <c r="I501" s="25" t="s">
        <v>1684</v>
      </c>
      <c r="J501" s="25" t="s">
        <v>555</v>
      </c>
      <c r="K501" s="25" t="s">
        <v>1339</v>
      </c>
      <c r="L501" s="25" t="s">
        <v>557</v>
      </c>
      <c r="M501" s="25"/>
      <c r="N501" s="25" t="s">
        <v>986</v>
      </c>
      <c r="O501" s="25" t="s">
        <v>568</v>
      </c>
      <c r="P501" s="25"/>
      <c r="Q501" s="25"/>
      <c r="R501" s="25" t="s">
        <v>558</v>
      </c>
      <c r="S501" s="25" t="s">
        <v>559</v>
      </c>
      <c r="T501" s="25" t="s">
        <v>1695</v>
      </c>
      <c r="U501" s="25"/>
    </row>
    <row r="502" spans="1:21" ht="45" customHeight="1" x14ac:dyDescent="0.25">
      <c r="A502" s="57">
        <v>501</v>
      </c>
      <c r="B502" s="57" t="s">
        <v>515</v>
      </c>
      <c r="C502" s="57" t="s">
        <v>515</v>
      </c>
      <c r="D502" s="58" t="s">
        <v>12</v>
      </c>
      <c r="E502" s="59" t="s">
        <v>1327</v>
      </c>
      <c r="F502" s="59" t="s">
        <v>1696</v>
      </c>
      <c r="G502" s="57" t="s">
        <v>573</v>
      </c>
      <c r="H502" s="59" t="s">
        <v>553</v>
      </c>
      <c r="I502" s="59" t="s">
        <v>1684</v>
      </c>
      <c r="J502" s="59" t="s">
        <v>555</v>
      </c>
      <c r="K502" s="59" t="s">
        <v>1339</v>
      </c>
      <c r="L502" s="59" t="s">
        <v>557</v>
      </c>
      <c r="M502" s="59"/>
      <c r="N502" s="59" t="s">
        <v>986</v>
      </c>
      <c r="O502" s="59"/>
      <c r="P502" s="59"/>
      <c r="Q502" s="59"/>
      <c r="R502" s="59" t="s">
        <v>558</v>
      </c>
      <c r="S502" s="59" t="s">
        <v>559</v>
      </c>
      <c r="T502" s="59" t="s">
        <v>1697</v>
      </c>
      <c r="U502" s="59"/>
    </row>
    <row r="503" spans="1:21" ht="45" customHeight="1" x14ac:dyDescent="0.25">
      <c r="A503" s="24">
        <v>502</v>
      </c>
      <c r="B503" s="24" t="s">
        <v>516</v>
      </c>
      <c r="C503" s="24" t="s">
        <v>516</v>
      </c>
      <c r="D503" s="60" t="s">
        <v>13</v>
      </c>
      <c r="E503" s="25" t="s">
        <v>714</v>
      </c>
      <c r="F503" s="25" t="s">
        <v>1698</v>
      </c>
      <c r="G503" s="24" t="s">
        <v>573</v>
      </c>
      <c r="H503" s="25" t="s">
        <v>553</v>
      </c>
      <c r="I503" s="25" t="s">
        <v>1699</v>
      </c>
      <c r="J503" s="25" t="s">
        <v>555</v>
      </c>
      <c r="K503" s="25" t="s">
        <v>556</v>
      </c>
      <c r="L503" s="25" t="s">
        <v>557</v>
      </c>
      <c r="M503" s="25"/>
      <c r="N503" s="25"/>
      <c r="O503" s="25"/>
      <c r="P503" s="25"/>
      <c r="Q503" s="25"/>
      <c r="R503" s="25" t="s">
        <v>558</v>
      </c>
      <c r="S503" s="25" t="s">
        <v>559</v>
      </c>
      <c r="T503" s="25" t="s">
        <v>1700</v>
      </c>
      <c r="U503" s="25"/>
    </row>
    <row r="504" spans="1:21" ht="45" customHeight="1" x14ac:dyDescent="0.25">
      <c r="A504" s="48">
        <v>503</v>
      </c>
      <c r="B504" s="48" t="s">
        <v>517</v>
      </c>
      <c r="C504" s="48" t="s">
        <v>517</v>
      </c>
      <c r="D504" s="60" t="s">
        <v>13</v>
      </c>
      <c r="E504" s="49" t="s">
        <v>714</v>
      </c>
      <c r="F504" s="49" t="s">
        <v>1701</v>
      </c>
      <c r="G504" s="48" t="s">
        <v>573</v>
      </c>
      <c r="H504" s="49" t="s">
        <v>553</v>
      </c>
      <c r="I504" s="49" t="s">
        <v>1699</v>
      </c>
      <c r="J504" s="49" t="s">
        <v>555</v>
      </c>
      <c r="K504" s="49" t="s">
        <v>556</v>
      </c>
      <c r="L504" s="49" t="s">
        <v>557</v>
      </c>
      <c r="M504" s="49"/>
      <c r="N504" s="49"/>
      <c r="O504" s="49"/>
      <c r="P504" s="49"/>
      <c r="Q504" s="49"/>
      <c r="R504" s="49" t="s">
        <v>558</v>
      </c>
      <c r="S504" s="49" t="s">
        <v>559</v>
      </c>
      <c r="T504" s="49" t="s">
        <v>1702</v>
      </c>
      <c r="U504" s="49"/>
    </row>
    <row r="505" spans="1:21" ht="45" customHeight="1" x14ac:dyDescent="0.25">
      <c r="A505" s="24">
        <v>504</v>
      </c>
      <c r="B505" s="24" t="s">
        <v>518</v>
      </c>
      <c r="C505" s="24" t="s">
        <v>518</v>
      </c>
      <c r="D505" s="60" t="s">
        <v>13</v>
      </c>
      <c r="E505" s="25" t="s">
        <v>550</v>
      </c>
      <c r="F505" s="25" t="s">
        <v>1703</v>
      </c>
      <c r="G505" s="26" t="s">
        <v>552</v>
      </c>
      <c r="H505" s="25" t="s">
        <v>553</v>
      </c>
      <c r="I505" s="25" t="s">
        <v>1699</v>
      </c>
      <c r="J505" s="25" t="s">
        <v>555</v>
      </c>
      <c r="K505" s="25" t="s">
        <v>556</v>
      </c>
      <c r="L505" s="25" t="s">
        <v>557</v>
      </c>
      <c r="M505" s="25"/>
      <c r="N505" s="25"/>
      <c r="O505" s="25"/>
      <c r="P505" s="25"/>
      <c r="Q505" s="25"/>
      <c r="R505" s="25" t="s">
        <v>558</v>
      </c>
      <c r="S505" s="25" t="s">
        <v>559</v>
      </c>
      <c r="T505" s="25" t="s">
        <v>1704</v>
      </c>
      <c r="U505" s="25" t="s">
        <v>561</v>
      </c>
    </row>
    <row r="506" spans="1:21" ht="45" customHeight="1" x14ac:dyDescent="0.25">
      <c r="A506" s="48">
        <v>505</v>
      </c>
      <c r="B506" s="48" t="s">
        <v>519</v>
      </c>
      <c r="C506" s="48" t="s">
        <v>519</v>
      </c>
      <c r="D506" s="60" t="s">
        <v>13</v>
      </c>
      <c r="E506" s="49" t="s">
        <v>550</v>
      </c>
      <c r="F506" s="49" t="s">
        <v>1705</v>
      </c>
      <c r="G506" s="50" t="s">
        <v>552</v>
      </c>
      <c r="H506" s="49" t="s">
        <v>553</v>
      </c>
      <c r="I506" s="49" t="s">
        <v>1699</v>
      </c>
      <c r="J506" s="49" t="s">
        <v>555</v>
      </c>
      <c r="K506" s="49" t="s">
        <v>556</v>
      </c>
      <c r="L506" s="49" t="s">
        <v>557</v>
      </c>
      <c r="M506" s="49"/>
      <c r="N506" s="49"/>
      <c r="O506" s="49"/>
      <c r="P506" s="49"/>
      <c r="Q506" s="49"/>
      <c r="R506" s="49" t="s">
        <v>558</v>
      </c>
      <c r="S506" s="49" t="s">
        <v>559</v>
      </c>
      <c r="T506" s="49" t="s">
        <v>1706</v>
      </c>
      <c r="U506" s="49" t="s">
        <v>561</v>
      </c>
    </row>
    <row r="507" spans="1:21" ht="45" customHeight="1" x14ac:dyDescent="0.25">
      <c r="A507" s="24">
        <v>506</v>
      </c>
      <c r="B507" s="24" t="s">
        <v>520</v>
      </c>
      <c r="C507" s="24" t="s">
        <v>520</v>
      </c>
      <c r="D507" s="60" t="s">
        <v>13</v>
      </c>
      <c r="E507" s="25" t="s">
        <v>550</v>
      </c>
      <c r="F507" s="25" t="s">
        <v>1707</v>
      </c>
      <c r="G507" s="26" t="s">
        <v>552</v>
      </c>
      <c r="H507" s="25" t="s">
        <v>553</v>
      </c>
      <c r="I507" s="25" t="s">
        <v>1699</v>
      </c>
      <c r="J507" s="25" t="s">
        <v>555</v>
      </c>
      <c r="K507" s="25" t="s">
        <v>556</v>
      </c>
      <c r="L507" s="25" t="s">
        <v>557</v>
      </c>
      <c r="M507" s="25"/>
      <c r="N507" s="25"/>
      <c r="O507" s="25"/>
      <c r="P507" s="25"/>
      <c r="Q507" s="25"/>
      <c r="R507" s="25" t="s">
        <v>558</v>
      </c>
      <c r="S507" s="25" t="s">
        <v>559</v>
      </c>
      <c r="T507" s="25" t="s">
        <v>1708</v>
      </c>
      <c r="U507" s="25" t="s">
        <v>561</v>
      </c>
    </row>
    <row r="508" spans="1:21" ht="45" customHeight="1" x14ac:dyDescent="0.25">
      <c r="A508" s="48">
        <v>507</v>
      </c>
      <c r="B508" s="48" t="s">
        <v>521</v>
      </c>
      <c r="C508" s="48" t="s">
        <v>521</v>
      </c>
      <c r="D508" s="60" t="s">
        <v>13</v>
      </c>
      <c r="E508" s="49" t="s">
        <v>714</v>
      </c>
      <c r="F508" s="49" t="s">
        <v>1709</v>
      </c>
      <c r="G508" s="48" t="s">
        <v>573</v>
      </c>
      <c r="H508" s="49" t="s">
        <v>553</v>
      </c>
      <c r="I508" s="49" t="s">
        <v>1699</v>
      </c>
      <c r="J508" s="49" t="s">
        <v>555</v>
      </c>
      <c r="K508" s="49" t="s">
        <v>556</v>
      </c>
      <c r="L508" s="49" t="s">
        <v>557</v>
      </c>
      <c r="M508" s="49"/>
      <c r="N508" s="49"/>
      <c r="O508" s="49"/>
      <c r="P508" s="49"/>
      <c r="Q508" s="49"/>
      <c r="R508" s="49" t="s">
        <v>558</v>
      </c>
      <c r="S508" s="49" t="s">
        <v>559</v>
      </c>
      <c r="T508" s="49" t="s">
        <v>1710</v>
      </c>
      <c r="U508" s="49"/>
    </row>
    <row r="509" spans="1:21" ht="45" customHeight="1" x14ac:dyDescent="0.25">
      <c r="A509" s="24">
        <v>508</v>
      </c>
      <c r="B509" s="24" t="s">
        <v>522</v>
      </c>
      <c r="C509" s="24" t="s">
        <v>522</v>
      </c>
      <c r="D509" s="60" t="s">
        <v>13</v>
      </c>
      <c r="E509" s="25" t="s">
        <v>714</v>
      </c>
      <c r="F509" s="25" t="s">
        <v>1711</v>
      </c>
      <c r="G509" s="24" t="s">
        <v>573</v>
      </c>
      <c r="H509" s="25" t="s">
        <v>553</v>
      </c>
      <c r="I509" s="25" t="s">
        <v>1699</v>
      </c>
      <c r="J509" s="25" t="s">
        <v>555</v>
      </c>
      <c r="K509" s="25" t="s">
        <v>556</v>
      </c>
      <c r="L509" s="25" t="s">
        <v>557</v>
      </c>
      <c r="M509" s="25"/>
      <c r="N509" s="25" t="s">
        <v>701</v>
      </c>
      <c r="O509" s="25"/>
      <c r="P509" s="25"/>
      <c r="Q509" s="25"/>
      <c r="R509" s="25" t="s">
        <v>558</v>
      </c>
      <c r="S509" s="25" t="s">
        <v>559</v>
      </c>
      <c r="T509" s="25" t="s">
        <v>1712</v>
      </c>
      <c r="U509" s="25"/>
    </row>
    <row r="510" spans="1:21" ht="45" customHeight="1" x14ac:dyDescent="0.25">
      <c r="A510" s="48">
        <v>509</v>
      </c>
      <c r="B510" s="48" t="s">
        <v>523</v>
      </c>
      <c r="C510" s="48" t="s">
        <v>523</v>
      </c>
      <c r="D510" s="60" t="s">
        <v>13</v>
      </c>
      <c r="E510" s="49" t="s">
        <v>714</v>
      </c>
      <c r="F510" s="49" t="s">
        <v>1713</v>
      </c>
      <c r="G510" s="48" t="s">
        <v>573</v>
      </c>
      <c r="H510" s="49" t="s">
        <v>553</v>
      </c>
      <c r="I510" s="49" t="s">
        <v>1699</v>
      </c>
      <c r="J510" s="49" t="s">
        <v>555</v>
      </c>
      <c r="K510" s="49" t="s">
        <v>556</v>
      </c>
      <c r="L510" s="49" t="s">
        <v>557</v>
      </c>
      <c r="M510" s="49"/>
      <c r="N510" s="49"/>
      <c r="O510" s="49" t="s">
        <v>568</v>
      </c>
      <c r="P510" s="49"/>
      <c r="Q510" s="49"/>
      <c r="R510" s="49" t="s">
        <v>570</v>
      </c>
      <c r="S510" s="49" t="s">
        <v>559</v>
      </c>
      <c r="T510" s="49" t="s">
        <v>1714</v>
      </c>
      <c r="U510" s="49"/>
    </row>
    <row r="511" spans="1:21" ht="45" customHeight="1" x14ac:dyDescent="0.25">
      <c r="A511" s="24">
        <v>510</v>
      </c>
      <c r="B511" s="24" t="s">
        <v>524</v>
      </c>
      <c r="C511" s="24" t="s">
        <v>524</v>
      </c>
      <c r="D511" s="60" t="s">
        <v>13</v>
      </c>
      <c r="E511" s="25" t="s">
        <v>1327</v>
      </c>
      <c r="F511" s="25" t="s">
        <v>1715</v>
      </c>
      <c r="G511" s="24" t="s">
        <v>573</v>
      </c>
      <c r="H511" s="25" t="s">
        <v>553</v>
      </c>
      <c r="I511" s="25" t="s">
        <v>1699</v>
      </c>
      <c r="J511" s="25" t="s">
        <v>555</v>
      </c>
      <c r="K511" s="25" t="s">
        <v>1339</v>
      </c>
      <c r="L511" s="25" t="s">
        <v>557</v>
      </c>
      <c r="M511" s="25"/>
      <c r="N511" s="25" t="s">
        <v>986</v>
      </c>
      <c r="O511" s="25"/>
      <c r="P511" s="25"/>
      <c r="Q511" s="25"/>
      <c r="R511" s="25" t="s">
        <v>558</v>
      </c>
      <c r="S511" s="25" t="s">
        <v>559</v>
      </c>
      <c r="T511" s="25" t="s">
        <v>1716</v>
      </c>
      <c r="U511" s="25"/>
    </row>
    <row r="512" spans="1:21" ht="45" customHeight="1" x14ac:dyDescent="0.25">
      <c r="A512" s="48">
        <v>511</v>
      </c>
      <c r="B512" s="48" t="s">
        <v>525</v>
      </c>
      <c r="C512" s="48" t="s">
        <v>525</v>
      </c>
      <c r="D512" s="60" t="s">
        <v>13</v>
      </c>
      <c r="E512" s="49" t="s">
        <v>714</v>
      </c>
      <c r="F512" s="49" t="s">
        <v>1717</v>
      </c>
      <c r="G512" s="48" t="s">
        <v>573</v>
      </c>
      <c r="H512" s="49" t="s">
        <v>553</v>
      </c>
      <c r="I512" s="49" t="s">
        <v>1699</v>
      </c>
      <c r="J512" s="49" t="s">
        <v>555</v>
      </c>
      <c r="K512" s="49" t="s">
        <v>556</v>
      </c>
      <c r="L512" s="49" t="s">
        <v>557</v>
      </c>
      <c r="M512" s="49"/>
      <c r="N512" s="49" t="s">
        <v>701</v>
      </c>
      <c r="O512" s="49"/>
      <c r="P512" s="49"/>
      <c r="Q512" s="49"/>
      <c r="R512" s="49" t="s">
        <v>558</v>
      </c>
      <c r="S512" s="49" t="s">
        <v>559</v>
      </c>
      <c r="T512" s="49" t="s">
        <v>1718</v>
      </c>
      <c r="U512" s="49"/>
    </row>
    <row r="513" spans="1:21" ht="45" customHeight="1" x14ac:dyDescent="0.25">
      <c r="A513" s="24">
        <v>512</v>
      </c>
      <c r="B513" s="24" t="s">
        <v>526</v>
      </c>
      <c r="C513" s="24" t="s">
        <v>526</v>
      </c>
      <c r="D513" s="46" t="s">
        <v>14</v>
      </c>
      <c r="E513" s="25" t="s">
        <v>714</v>
      </c>
      <c r="F513" s="25" t="s">
        <v>1719</v>
      </c>
      <c r="G513" s="24" t="s">
        <v>573</v>
      </c>
      <c r="H513" s="25" t="s">
        <v>553</v>
      </c>
      <c r="I513" s="25" t="s">
        <v>1720</v>
      </c>
      <c r="J513" s="25" t="s">
        <v>555</v>
      </c>
      <c r="K513" s="25" t="s">
        <v>556</v>
      </c>
      <c r="L513" s="25" t="s">
        <v>557</v>
      </c>
      <c r="M513" s="25"/>
      <c r="N513" s="25"/>
      <c r="O513" s="25" t="s">
        <v>568</v>
      </c>
      <c r="P513" s="25"/>
      <c r="Q513" s="25"/>
      <c r="R513" s="25" t="s">
        <v>558</v>
      </c>
      <c r="S513" s="25" t="s">
        <v>559</v>
      </c>
      <c r="T513" s="25" t="s">
        <v>1721</v>
      </c>
      <c r="U513" s="25"/>
    </row>
    <row r="514" spans="1:21" ht="45" customHeight="1" x14ac:dyDescent="0.25">
      <c r="A514" s="20">
        <v>513</v>
      </c>
      <c r="B514" s="20" t="s">
        <v>527</v>
      </c>
      <c r="C514" s="20" t="s">
        <v>527</v>
      </c>
      <c r="D514" s="46" t="s">
        <v>14</v>
      </c>
      <c r="E514" s="22" t="s">
        <v>990</v>
      </c>
      <c r="F514" s="22" t="s">
        <v>1722</v>
      </c>
      <c r="G514" s="20" t="s">
        <v>573</v>
      </c>
      <c r="H514" s="22" t="s">
        <v>553</v>
      </c>
      <c r="I514" s="22" t="s">
        <v>1720</v>
      </c>
      <c r="J514" s="22" t="s">
        <v>555</v>
      </c>
      <c r="K514" s="22" t="s">
        <v>992</v>
      </c>
      <c r="L514" s="22" t="s">
        <v>557</v>
      </c>
      <c r="M514" s="22"/>
      <c r="N514" s="22"/>
      <c r="O514" s="22"/>
      <c r="P514" s="22"/>
      <c r="Q514" s="22"/>
      <c r="R514" s="22" t="s">
        <v>558</v>
      </c>
      <c r="S514" s="22" t="s">
        <v>559</v>
      </c>
      <c r="T514" s="22" t="s">
        <v>1723</v>
      </c>
      <c r="U514" s="22"/>
    </row>
    <row r="515" spans="1:21" ht="45" customHeight="1" x14ac:dyDescent="0.25">
      <c r="A515" s="24">
        <v>514</v>
      </c>
      <c r="B515" s="24" t="s">
        <v>528</v>
      </c>
      <c r="C515" s="24" t="s">
        <v>528</v>
      </c>
      <c r="D515" s="46" t="s">
        <v>14</v>
      </c>
      <c r="E515" s="25" t="s">
        <v>714</v>
      </c>
      <c r="F515" s="25" t="s">
        <v>1724</v>
      </c>
      <c r="G515" s="24" t="s">
        <v>573</v>
      </c>
      <c r="H515" s="25" t="s">
        <v>553</v>
      </c>
      <c r="I515" s="25" t="s">
        <v>1720</v>
      </c>
      <c r="J515" s="25" t="s">
        <v>555</v>
      </c>
      <c r="K515" s="25" t="s">
        <v>556</v>
      </c>
      <c r="L515" s="25" t="s">
        <v>557</v>
      </c>
      <c r="M515" s="25"/>
      <c r="N515" s="25"/>
      <c r="O515" s="25"/>
      <c r="P515" s="25"/>
      <c r="Q515" s="25"/>
      <c r="R515" s="25" t="s">
        <v>558</v>
      </c>
      <c r="S515" s="25" t="s">
        <v>559</v>
      </c>
      <c r="T515" s="25" t="s">
        <v>1725</v>
      </c>
      <c r="U515" s="25"/>
    </row>
    <row r="516" spans="1:21" ht="45" customHeight="1" x14ac:dyDescent="0.25">
      <c r="A516" s="20">
        <v>515</v>
      </c>
      <c r="B516" s="20" t="s">
        <v>529</v>
      </c>
      <c r="C516" s="20" t="s">
        <v>529</v>
      </c>
      <c r="D516" s="46" t="s">
        <v>14</v>
      </c>
      <c r="E516" s="22" t="s">
        <v>714</v>
      </c>
      <c r="F516" s="22" t="s">
        <v>1726</v>
      </c>
      <c r="G516" s="20" t="s">
        <v>573</v>
      </c>
      <c r="H516" s="22" t="s">
        <v>553</v>
      </c>
      <c r="I516" s="22" t="s">
        <v>1720</v>
      </c>
      <c r="J516" s="22" t="s">
        <v>555</v>
      </c>
      <c r="K516" s="22" t="s">
        <v>556</v>
      </c>
      <c r="L516" s="22" t="s">
        <v>557</v>
      </c>
      <c r="M516" s="22"/>
      <c r="N516" s="22"/>
      <c r="O516" s="22" t="s">
        <v>568</v>
      </c>
      <c r="P516" s="22"/>
      <c r="Q516" s="22"/>
      <c r="R516" s="22" t="s">
        <v>570</v>
      </c>
      <c r="S516" s="22" t="s">
        <v>559</v>
      </c>
      <c r="T516" s="22" t="s">
        <v>1727</v>
      </c>
      <c r="U516" s="22"/>
    </row>
  </sheetData>
  <autoFilter ref="A1:U1"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61"/>
  <sheetViews>
    <sheetView topLeftCell="G1" zoomScale="61" zoomScaleNormal="100" workbookViewId="0">
      <pane ySplit="1" topLeftCell="A2" activePane="bottomLeft" state="frozen"/>
      <selection pane="bottomLeft" sqref="A1:M1"/>
    </sheetView>
  </sheetViews>
  <sheetFormatPr defaultColWidth="8.7109375" defaultRowHeight="15" x14ac:dyDescent="0.25"/>
  <cols>
    <col min="1" max="1" width="6" customWidth="1"/>
    <col min="2" max="2" width="40" customWidth="1"/>
    <col min="3" max="3" width="32" customWidth="1"/>
    <col min="4" max="4" width="35" customWidth="1"/>
    <col min="5" max="5" width="45" customWidth="1"/>
    <col min="6" max="6" width="40" customWidth="1"/>
    <col min="7" max="7" width="18" customWidth="1"/>
    <col min="8" max="8" width="22" customWidth="1"/>
    <col min="9" max="9" width="30" customWidth="1"/>
    <col min="10" max="10" width="18" customWidth="1"/>
    <col min="11" max="11" width="45" customWidth="1"/>
    <col min="12" max="12" width="40" customWidth="1"/>
    <col min="13" max="13" width="22" customWidth="1"/>
  </cols>
  <sheetData>
    <row r="1" spans="1:13" ht="45" customHeight="1" x14ac:dyDescent="0.25">
      <c r="A1" s="4" t="s">
        <v>530</v>
      </c>
      <c r="B1" s="4" t="s">
        <v>1728</v>
      </c>
      <c r="C1" s="4" t="s">
        <v>1729</v>
      </c>
      <c r="D1" s="4" t="s">
        <v>1730</v>
      </c>
      <c r="E1" s="4" t="s">
        <v>1731</v>
      </c>
      <c r="F1" s="4" t="s">
        <v>1732</v>
      </c>
      <c r="G1" s="4" t="s">
        <v>536</v>
      </c>
      <c r="H1" s="4" t="s">
        <v>1733</v>
      </c>
      <c r="I1" s="4" t="s">
        <v>1734</v>
      </c>
      <c r="J1" s="4" t="s">
        <v>1735</v>
      </c>
      <c r="K1" s="4" t="s">
        <v>1736</v>
      </c>
      <c r="L1" s="4" t="s">
        <v>1737</v>
      </c>
      <c r="M1" s="4" t="s">
        <v>1738</v>
      </c>
    </row>
    <row r="2" spans="1:13" ht="45" customHeight="1" x14ac:dyDescent="0.25">
      <c r="A2" s="61">
        <v>1</v>
      </c>
      <c r="B2" s="62" t="s">
        <v>15</v>
      </c>
      <c r="C2" s="62" t="s">
        <v>1739</v>
      </c>
      <c r="D2" s="62" t="s">
        <v>580</v>
      </c>
      <c r="E2" s="62" t="s">
        <v>1740</v>
      </c>
      <c r="F2" s="62" t="s">
        <v>1741</v>
      </c>
      <c r="G2" s="62" t="s">
        <v>552</v>
      </c>
      <c r="H2" s="62" t="s">
        <v>1742</v>
      </c>
      <c r="I2" s="62" t="s">
        <v>1743</v>
      </c>
      <c r="J2" s="62">
        <v>5</v>
      </c>
      <c r="K2" s="63" t="s">
        <v>1744</v>
      </c>
      <c r="L2" s="62" t="s">
        <v>1745</v>
      </c>
      <c r="M2" s="62" t="s">
        <v>558</v>
      </c>
    </row>
    <row r="3" spans="1:13" ht="45" customHeight="1" x14ac:dyDescent="0.25">
      <c r="A3" s="64">
        <v>2</v>
      </c>
      <c r="B3" s="65" t="s">
        <v>23</v>
      </c>
      <c r="C3" s="65" t="s">
        <v>1739</v>
      </c>
      <c r="D3" s="65" t="s">
        <v>1746</v>
      </c>
      <c r="E3" s="65" t="s">
        <v>1747</v>
      </c>
      <c r="F3" s="65" t="s">
        <v>1741</v>
      </c>
      <c r="G3" s="65" t="s">
        <v>552</v>
      </c>
      <c r="H3" s="65" t="s">
        <v>1742</v>
      </c>
      <c r="I3" s="65" t="s">
        <v>1748</v>
      </c>
      <c r="J3" s="65">
        <v>5</v>
      </c>
      <c r="K3" s="66" t="s">
        <v>1749</v>
      </c>
      <c r="L3" s="65" t="s">
        <v>1750</v>
      </c>
      <c r="M3" s="65" t="s">
        <v>570</v>
      </c>
    </row>
    <row r="4" spans="1:13" ht="45" customHeight="1" x14ac:dyDescent="0.25">
      <c r="A4" s="61">
        <v>3</v>
      </c>
      <c r="B4" s="62" t="s">
        <v>27</v>
      </c>
      <c r="C4" s="62" t="s">
        <v>1739</v>
      </c>
      <c r="D4" s="62" t="s">
        <v>1751</v>
      </c>
      <c r="E4" s="62" t="s">
        <v>1752</v>
      </c>
      <c r="F4" s="62" t="s">
        <v>1753</v>
      </c>
      <c r="G4" s="62" t="s">
        <v>552</v>
      </c>
      <c r="H4" s="62" t="s">
        <v>1754</v>
      </c>
      <c r="I4" s="62" t="s">
        <v>1755</v>
      </c>
      <c r="J4" s="62">
        <v>5</v>
      </c>
      <c r="K4" s="63" t="s">
        <v>1756</v>
      </c>
      <c r="L4" s="62" t="s">
        <v>1757</v>
      </c>
      <c r="M4" s="62" t="s">
        <v>1758</v>
      </c>
    </row>
    <row r="5" spans="1:13" ht="45" customHeight="1" x14ac:dyDescent="0.25">
      <c r="A5" s="64">
        <v>4</v>
      </c>
      <c r="B5" s="65" t="s">
        <v>30</v>
      </c>
      <c r="C5" s="65" t="s">
        <v>1739</v>
      </c>
      <c r="D5" s="65" t="s">
        <v>1759</v>
      </c>
      <c r="E5" s="65" t="s">
        <v>1760</v>
      </c>
      <c r="F5" s="65" t="s">
        <v>611</v>
      </c>
      <c r="G5" s="65" t="s">
        <v>552</v>
      </c>
      <c r="H5" s="65" t="s">
        <v>1754</v>
      </c>
      <c r="I5" s="65" t="s">
        <v>1761</v>
      </c>
      <c r="J5" s="65">
        <v>5</v>
      </c>
      <c r="K5" s="66" t="s">
        <v>1762</v>
      </c>
      <c r="L5" s="65" t="s">
        <v>1763</v>
      </c>
      <c r="M5" s="65" t="s">
        <v>1764</v>
      </c>
    </row>
    <row r="6" spans="1:13" ht="45" customHeight="1" x14ac:dyDescent="0.25">
      <c r="A6" s="67">
        <v>5</v>
      </c>
      <c r="B6" s="68" t="s">
        <v>90</v>
      </c>
      <c r="C6" s="68" t="s">
        <v>1765</v>
      </c>
      <c r="D6" s="68" t="s">
        <v>1766</v>
      </c>
      <c r="E6" s="68" t="s">
        <v>1767</v>
      </c>
      <c r="F6" s="68" t="s">
        <v>1768</v>
      </c>
      <c r="G6" s="68" t="s">
        <v>552</v>
      </c>
      <c r="H6" s="68" t="s">
        <v>1769</v>
      </c>
      <c r="I6" s="68" t="s">
        <v>1770</v>
      </c>
      <c r="J6" s="68">
        <v>5</v>
      </c>
      <c r="K6" s="69" t="s">
        <v>1771</v>
      </c>
      <c r="L6" s="68" t="s">
        <v>1772</v>
      </c>
      <c r="M6" s="68" t="s">
        <v>570</v>
      </c>
    </row>
    <row r="7" spans="1:13" ht="45" customHeight="1" x14ac:dyDescent="0.25">
      <c r="A7" s="64">
        <v>6</v>
      </c>
      <c r="B7" s="65" t="s">
        <v>91</v>
      </c>
      <c r="C7" s="65" t="s">
        <v>1765</v>
      </c>
      <c r="D7" s="65" t="s">
        <v>1773</v>
      </c>
      <c r="E7" s="65" t="s">
        <v>1774</v>
      </c>
      <c r="F7" s="65" t="s">
        <v>1775</v>
      </c>
      <c r="G7" s="65" t="s">
        <v>552</v>
      </c>
      <c r="H7" s="65" t="s">
        <v>1769</v>
      </c>
      <c r="I7" s="65" t="s">
        <v>1776</v>
      </c>
      <c r="J7" s="65">
        <v>7</v>
      </c>
      <c r="K7" s="66" t="s">
        <v>1777</v>
      </c>
      <c r="L7" s="65" t="s">
        <v>1778</v>
      </c>
      <c r="M7" s="65" t="s">
        <v>570</v>
      </c>
    </row>
    <row r="8" spans="1:13" ht="45" customHeight="1" x14ac:dyDescent="0.25">
      <c r="A8" s="61">
        <v>7</v>
      </c>
      <c r="B8" s="62" t="s">
        <v>1779</v>
      </c>
      <c r="C8" s="62" t="s">
        <v>1739</v>
      </c>
      <c r="D8" s="62" t="s">
        <v>580</v>
      </c>
      <c r="E8" s="62" t="s">
        <v>1780</v>
      </c>
      <c r="F8" s="62" t="s">
        <v>1781</v>
      </c>
      <c r="G8" s="62" t="s">
        <v>552</v>
      </c>
      <c r="H8" s="62" t="s">
        <v>1782</v>
      </c>
      <c r="I8" s="62" t="s">
        <v>1783</v>
      </c>
      <c r="J8" s="62">
        <v>5</v>
      </c>
      <c r="K8" s="63" t="s">
        <v>1784</v>
      </c>
      <c r="L8" s="62" t="s">
        <v>1785</v>
      </c>
      <c r="M8" s="62" t="s">
        <v>558</v>
      </c>
    </row>
    <row r="9" spans="1:13" ht="45" customHeight="1" x14ac:dyDescent="0.25">
      <c r="A9" s="64">
        <v>8</v>
      </c>
      <c r="B9" s="65" t="s">
        <v>17</v>
      </c>
      <c r="C9" s="65" t="s">
        <v>1739</v>
      </c>
      <c r="D9" s="65" t="s">
        <v>580</v>
      </c>
      <c r="E9" s="65" t="s">
        <v>1786</v>
      </c>
      <c r="F9" s="65" t="s">
        <v>1787</v>
      </c>
      <c r="G9" s="65" t="s">
        <v>552</v>
      </c>
      <c r="H9" s="65" t="s">
        <v>1788</v>
      </c>
      <c r="I9" s="65" t="s">
        <v>1783</v>
      </c>
      <c r="J9" s="65">
        <v>5</v>
      </c>
      <c r="K9" s="66" t="s">
        <v>1789</v>
      </c>
      <c r="L9" s="65" t="s">
        <v>1790</v>
      </c>
      <c r="M9" s="65" t="s">
        <v>558</v>
      </c>
    </row>
    <row r="10" spans="1:13" ht="45" customHeight="1" x14ac:dyDescent="0.25">
      <c r="A10" s="70">
        <v>9</v>
      </c>
      <c r="B10" s="71" t="s">
        <v>33</v>
      </c>
      <c r="C10" s="71" t="s">
        <v>1791</v>
      </c>
      <c r="D10" s="71" t="s">
        <v>619</v>
      </c>
      <c r="E10" s="71" t="s">
        <v>1792</v>
      </c>
      <c r="F10" s="71" t="s">
        <v>1793</v>
      </c>
      <c r="G10" s="71" t="s">
        <v>552</v>
      </c>
      <c r="H10" s="71" t="s">
        <v>1794</v>
      </c>
      <c r="I10" s="71" t="s">
        <v>1795</v>
      </c>
      <c r="J10" s="71">
        <v>3</v>
      </c>
      <c r="K10" s="72" t="s">
        <v>1796</v>
      </c>
      <c r="L10" s="71" t="s">
        <v>1797</v>
      </c>
      <c r="M10" s="71" t="s">
        <v>1798</v>
      </c>
    </row>
    <row r="11" spans="1:13" ht="45" customHeight="1" x14ac:dyDescent="0.25">
      <c r="A11" s="64">
        <v>10</v>
      </c>
      <c r="B11" s="65" t="s">
        <v>37</v>
      </c>
      <c r="C11" s="65" t="s">
        <v>1739</v>
      </c>
      <c r="D11" s="65" t="s">
        <v>619</v>
      </c>
      <c r="E11" s="65" t="s">
        <v>1799</v>
      </c>
      <c r="F11" s="65" t="s">
        <v>1793</v>
      </c>
      <c r="G11" s="65" t="s">
        <v>552</v>
      </c>
      <c r="H11" s="65" t="s">
        <v>1794</v>
      </c>
      <c r="I11" s="65" t="s">
        <v>1800</v>
      </c>
      <c r="J11" s="65">
        <v>3</v>
      </c>
      <c r="K11" s="66" t="s">
        <v>1801</v>
      </c>
      <c r="L11" s="65" t="s">
        <v>1802</v>
      </c>
      <c r="M11" s="65" t="s">
        <v>570</v>
      </c>
    </row>
    <row r="12" spans="1:13" ht="45" customHeight="1" x14ac:dyDescent="0.25">
      <c r="A12" s="73">
        <v>11</v>
      </c>
      <c r="B12" s="74" t="s">
        <v>1803</v>
      </c>
      <c r="C12" s="74" t="s">
        <v>1804</v>
      </c>
      <c r="D12" s="74" t="s">
        <v>1805</v>
      </c>
      <c r="E12" s="74" t="s">
        <v>1806</v>
      </c>
      <c r="F12" s="74" t="s">
        <v>1807</v>
      </c>
      <c r="G12" s="74" t="s">
        <v>552</v>
      </c>
      <c r="H12" s="74" t="s">
        <v>1754</v>
      </c>
      <c r="I12" s="74" t="s">
        <v>1783</v>
      </c>
      <c r="J12" s="74">
        <v>5</v>
      </c>
      <c r="K12" s="75" t="s">
        <v>1808</v>
      </c>
      <c r="L12" s="74" t="s">
        <v>1809</v>
      </c>
      <c r="M12" s="74" t="s">
        <v>558</v>
      </c>
    </row>
    <row r="13" spans="1:13" ht="45" customHeight="1" x14ac:dyDescent="0.25">
      <c r="A13" s="64">
        <v>12</v>
      </c>
      <c r="B13" s="65" t="s">
        <v>1810</v>
      </c>
      <c r="C13" s="65" t="s">
        <v>1804</v>
      </c>
      <c r="D13" s="65" t="s">
        <v>701</v>
      </c>
      <c r="E13" s="65" t="s">
        <v>1811</v>
      </c>
      <c r="F13" s="65" t="s">
        <v>1812</v>
      </c>
      <c r="G13" s="65" t="s">
        <v>552</v>
      </c>
      <c r="H13" s="65" t="s">
        <v>1754</v>
      </c>
      <c r="I13" s="65" t="s">
        <v>1783</v>
      </c>
      <c r="J13" s="65">
        <v>5</v>
      </c>
      <c r="K13" s="66" t="s">
        <v>1813</v>
      </c>
      <c r="L13" s="65" t="s">
        <v>1814</v>
      </c>
      <c r="M13" s="65" t="s">
        <v>558</v>
      </c>
    </row>
    <row r="14" spans="1:13" ht="45" customHeight="1" x14ac:dyDescent="0.25">
      <c r="A14" s="73">
        <v>13</v>
      </c>
      <c r="B14" s="74" t="s">
        <v>222</v>
      </c>
      <c r="C14" s="74" t="s">
        <v>1804</v>
      </c>
      <c r="D14" s="74" t="s">
        <v>1815</v>
      </c>
      <c r="E14" s="74" t="s">
        <v>1816</v>
      </c>
      <c r="F14" s="74" t="s">
        <v>1812</v>
      </c>
      <c r="G14" s="74" t="s">
        <v>552</v>
      </c>
      <c r="H14" s="74" t="s">
        <v>1754</v>
      </c>
      <c r="I14" s="74" t="s">
        <v>1783</v>
      </c>
      <c r="J14" s="74">
        <v>5</v>
      </c>
      <c r="K14" s="75" t="s">
        <v>1817</v>
      </c>
      <c r="L14" s="74" t="s">
        <v>1818</v>
      </c>
      <c r="M14" s="74" t="s">
        <v>558</v>
      </c>
    </row>
    <row r="15" spans="1:13" ht="45" customHeight="1" x14ac:dyDescent="0.25">
      <c r="A15" s="64">
        <v>14</v>
      </c>
      <c r="B15" s="65" t="s">
        <v>290</v>
      </c>
      <c r="C15" s="65" t="s">
        <v>1804</v>
      </c>
      <c r="D15" s="65" t="s">
        <v>1815</v>
      </c>
      <c r="E15" s="65" t="s">
        <v>1816</v>
      </c>
      <c r="F15" s="65" t="s">
        <v>1812</v>
      </c>
      <c r="G15" s="65" t="s">
        <v>552</v>
      </c>
      <c r="H15" s="65" t="s">
        <v>1742</v>
      </c>
      <c r="I15" s="65" t="s">
        <v>1819</v>
      </c>
      <c r="J15" s="65">
        <v>5</v>
      </c>
      <c r="K15" s="66" t="s">
        <v>1820</v>
      </c>
      <c r="L15" s="65" t="s">
        <v>1821</v>
      </c>
      <c r="M15" s="65" t="s">
        <v>1822</v>
      </c>
    </row>
    <row r="16" spans="1:13" ht="45" customHeight="1" x14ac:dyDescent="0.25">
      <c r="A16" s="73">
        <v>15</v>
      </c>
      <c r="B16" s="74" t="s">
        <v>291</v>
      </c>
      <c r="C16" s="74" t="s">
        <v>1804</v>
      </c>
      <c r="D16" s="74" t="s">
        <v>1815</v>
      </c>
      <c r="E16" s="74" t="s">
        <v>1816</v>
      </c>
      <c r="F16" s="74" t="s">
        <v>1812</v>
      </c>
      <c r="G16" s="74" t="s">
        <v>552</v>
      </c>
      <c r="H16" s="74" t="s">
        <v>1742</v>
      </c>
      <c r="I16" s="74" t="s">
        <v>1823</v>
      </c>
      <c r="J16" s="74">
        <v>5</v>
      </c>
      <c r="K16" s="75" t="s">
        <v>1824</v>
      </c>
      <c r="L16" s="74" t="s">
        <v>1825</v>
      </c>
      <c r="M16" s="74" t="s">
        <v>570</v>
      </c>
    </row>
    <row r="17" spans="1:13" ht="45" customHeight="1" x14ac:dyDescent="0.25">
      <c r="A17" s="64">
        <v>16</v>
      </c>
      <c r="B17" s="65" t="s">
        <v>189</v>
      </c>
      <c r="C17" s="65" t="s">
        <v>1826</v>
      </c>
      <c r="D17" s="65" t="s">
        <v>1827</v>
      </c>
      <c r="E17" s="65" t="s">
        <v>1828</v>
      </c>
      <c r="F17" s="65" t="s">
        <v>1829</v>
      </c>
      <c r="G17" s="65" t="s">
        <v>552</v>
      </c>
      <c r="H17" s="65" t="s">
        <v>1830</v>
      </c>
      <c r="I17" s="65" t="s">
        <v>1831</v>
      </c>
      <c r="J17" s="65">
        <v>3</v>
      </c>
      <c r="K17" s="66" t="s">
        <v>1832</v>
      </c>
      <c r="L17" s="65" t="s">
        <v>1833</v>
      </c>
      <c r="M17" s="65" t="s">
        <v>558</v>
      </c>
    </row>
    <row r="18" spans="1:13" ht="45" customHeight="1" x14ac:dyDescent="0.25">
      <c r="A18" s="73">
        <v>17</v>
      </c>
      <c r="B18" s="74" t="s">
        <v>213</v>
      </c>
      <c r="C18" s="74" t="s">
        <v>1804</v>
      </c>
      <c r="D18" s="74" t="s">
        <v>1834</v>
      </c>
      <c r="E18" s="74" t="s">
        <v>1835</v>
      </c>
      <c r="F18" s="74" t="s">
        <v>1836</v>
      </c>
      <c r="G18" s="74" t="s">
        <v>552</v>
      </c>
      <c r="H18" s="74" t="s">
        <v>1754</v>
      </c>
      <c r="I18" s="74" t="s">
        <v>1783</v>
      </c>
      <c r="J18" s="74">
        <v>3</v>
      </c>
      <c r="K18" s="75" t="s">
        <v>1837</v>
      </c>
      <c r="L18" s="74" t="s">
        <v>1838</v>
      </c>
      <c r="M18" s="74" t="s">
        <v>558</v>
      </c>
    </row>
    <row r="19" spans="1:13" ht="45" customHeight="1" x14ac:dyDescent="0.25">
      <c r="A19" s="64">
        <v>18</v>
      </c>
      <c r="B19" s="65" t="s">
        <v>214</v>
      </c>
      <c r="C19" s="65" t="s">
        <v>1804</v>
      </c>
      <c r="D19" s="65" t="s">
        <v>701</v>
      </c>
      <c r="E19" s="65" t="s">
        <v>1835</v>
      </c>
      <c r="F19" s="65" t="s">
        <v>1829</v>
      </c>
      <c r="G19" s="65" t="s">
        <v>552</v>
      </c>
      <c r="H19" s="65" t="s">
        <v>1754</v>
      </c>
      <c r="I19" s="65" t="s">
        <v>1783</v>
      </c>
      <c r="J19" s="65">
        <v>3</v>
      </c>
      <c r="K19" s="66" t="s">
        <v>1839</v>
      </c>
      <c r="L19" s="65" t="s">
        <v>1840</v>
      </c>
      <c r="M19" s="65" t="s">
        <v>558</v>
      </c>
    </row>
    <row r="20" spans="1:13" ht="45" customHeight="1" x14ac:dyDescent="0.25">
      <c r="A20" s="73">
        <v>19</v>
      </c>
      <c r="B20" s="74" t="s">
        <v>221</v>
      </c>
      <c r="C20" s="74" t="s">
        <v>1804</v>
      </c>
      <c r="D20" s="74" t="s">
        <v>1841</v>
      </c>
      <c r="E20" s="74" t="s">
        <v>1842</v>
      </c>
      <c r="F20" s="74" t="s">
        <v>1843</v>
      </c>
      <c r="G20" s="74" t="s">
        <v>552</v>
      </c>
      <c r="H20" s="74" t="s">
        <v>1754</v>
      </c>
      <c r="I20" s="74" t="s">
        <v>1844</v>
      </c>
      <c r="J20" s="74">
        <v>3</v>
      </c>
      <c r="K20" s="75" t="s">
        <v>1845</v>
      </c>
      <c r="L20" s="74" t="s">
        <v>1846</v>
      </c>
      <c r="M20" s="74" t="s">
        <v>558</v>
      </c>
    </row>
    <row r="21" spans="1:13" ht="45" customHeight="1" x14ac:dyDescent="0.25">
      <c r="A21" s="64">
        <v>20</v>
      </c>
      <c r="B21" s="65" t="s">
        <v>1847</v>
      </c>
      <c r="C21" s="65" t="s">
        <v>1804</v>
      </c>
      <c r="D21" s="65" t="s">
        <v>1848</v>
      </c>
      <c r="E21" s="65" t="s">
        <v>1849</v>
      </c>
      <c r="F21" s="65" t="s">
        <v>1850</v>
      </c>
      <c r="G21" s="65" t="s">
        <v>552</v>
      </c>
      <c r="H21" s="65" t="s">
        <v>1754</v>
      </c>
      <c r="I21" s="65" t="s">
        <v>1851</v>
      </c>
      <c r="J21" s="65">
        <v>3</v>
      </c>
      <c r="K21" s="66" t="s">
        <v>1852</v>
      </c>
      <c r="L21" s="65" t="s">
        <v>1853</v>
      </c>
      <c r="M21" s="65" t="s">
        <v>558</v>
      </c>
    </row>
    <row r="22" spans="1:13" ht="45" customHeight="1" x14ac:dyDescent="0.25">
      <c r="A22" s="73">
        <v>21</v>
      </c>
      <c r="B22" s="74" t="s">
        <v>251</v>
      </c>
      <c r="C22" s="74" t="s">
        <v>1804</v>
      </c>
      <c r="D22" s="74" t="s">
        <v>1751</v>
      </c>
      <c r="E22" s="74" t="s">
        <v>1854</v>
      </c>
      <c r="F22" s="74" t="s">
        <v>1753</v>
      </c>
      <c r="G22" s="74" t="s">
        <v>552</v>
      </c>
      <c r="H22" s="74" t="s">
        <v>1855</v>
      </c>
      <c r="I22" s="74" t="s">
        <v>1755</v>
      </c>
      <c r="J22" s="74">
        <v>7</v>
      </c>
      <c r="K22" s="75" t="s">
        <v>1856</v>
      </c>
      <c r="L22" s="74" t="s">
        <v>1857</v>
      </c>
      <c r="M22" s="74" t="s">
        <v>1858</v>
      </c>
    </row>
    <row r="23" spans="1:13" ht="45" customHeight="1" x14ac:dyDescent="0.25">
      <c r="A23" s="64">
        <v>22</v>
      </c>
      <c r="B23" s="65" t="s">
        <v>252</v>
      </c>
      <c r="C23" s="65" t="s">
        <v>1804</v>
      </c>
      <c r="D23" s="65" t="s">
        <v>1751</v>
      </c>
      <c r="E23" s="65" t="s">
        <v>1859</v>
      </c>
      <c r="F23" s="65" t="s">
        <v>1753</v>
      </c>
      <c r="G23" s="65" t="s">
        <v>552</v>
      </c>
      <c r="H23" s="65" t="s">
        <v>1855</v>
      </c>
      <c r="I23" s="65" t="s">
        <v>1755</v>
      </c>
      <c r="J23" s="65">
        <v>7</v>
      </c>
      <c r="K23" s="66" t="s">
        <v>1860</v>
      </c>
      <c r="L23" s="65" t="s">
        <v>1861</v>
      </c>
      <c r="M23" s="65" t="s">
        <v>1858</v>
      </c>
    </row>
    <row r="24" spans="1:13" ht="45" customHeight="1" x14ac:dyDescent="0.25">
      <c r="A24" s="73">
        <v>23</v>
      </c>
      <c r="B24" s="74" t="s">
        <v>253</v>
      </c>
      <c r="C24" s="74" t="s">
        <v>1804</v>
      </c>
      <c r="D24" s="74" t="s">
        <v>1862</v>
      </c>
      <c r="E24" s="74" t="s">
        <v>1863</v>
      </c>
      <c r="F24" s="74" t="s">
        <v>1864</v>
      </c>
      <c r="G24" s="74" t="s">
        <v>552</v>
      </c>
      <c r="H24" s="74" t="s">
        <v>1855</v>
      </c>
      <c r="I24" s="74" t="s">
        <v>1755</v>
      </c>
      <c r="J24" s="74">
        <v>7</v>
      </c>
      <c r="K24" s="75" t="s">
        <v>1865</v>
      </c>
      <c r="L24" s="74" t="s">
        <v>1866</v>
      </c>
      <c r="M24" s="74" t="s">
        <v>1858</v>
      </c>
    </row>
    <row r="25" spans="1:13" ht="45" customHeight="1" x14ac:dyDescent="0.25">
      <c r="A25" s="64">
        <v>24</v>
      </c>
      <c r="B25" s="65" t="s">
        <v>254</v>
      </c>
      <c r="C25" s="65" t="s">
        <v>1804</v>
      </c>
      <c r="D25" s="65" t="s">
        <v>1867</v>
      </c>
      <c r="E25" s="65" t="s">
        <v>1868</v>
      </c>
      <c r="F25" s="65" t="s">
        <v>1869</v>
      </c>
      <c r="G25" s="65" t="s">
        <v>552</v>
      </c>
      <c r="H25" s="65" t="s">
        <v>1855</v>
      </c>
      <c r="I25" s="65" t="s">
        <v>1755</v>
      </c>
      <c r="J25" s="65">
        <v>7</v>
      </c>
      <c r="K25" s="66" t="s">
        <v>1870</v>
      </c>
      <c r="L25" s="65" t="s">
        <v>1871</v>
      </c>
      <c r="M25" s="65" t="s">
        <v>1858</v>
      </c>
    </row>
    <row r="26" spans="1:13" ht="45" customHeight="1" x14ac:dyDescent="0.25">
      <c r="A26" s="73">
        <v>25</v>
      </c>
      <c r="B26" s="74" t="s">
        <v>276</v>
      </c>
      <c r="C26" s="74" t="s">
        <v>1804</v>
      </c>
      <c r="D26" s="74" t="s">
        <v>1751</v>
      </c>
      <c r="E26" s="74" t="s">
        <v>1872</v>
      </c>
      <c r="F26" s="74" t="s">
        <v>1753</v>
      </c>
      <c r="G26" s="74" t="s">
        <v>552</v>
      </c>
      <c r="H26" s="74" t="s">
        <v>1754</v>
      </c>
      <c r="I26" s="74" t="s">
        <v>1755</v>
      </c>
      <c r="J26" s="74">
        <v>7</v>
      </c>
      <c r="K26" s="75" t="s">
        <v>1873</v>
      </c>
      <c r="L26" s="74" t="s">
        <v>1874</v>
      </c>
      <c r="M26" s="74" t="s">
        <v>1858</v>
      </c>
    </row>
    <row r="27" spans="1:13" ht="45" customHeight="1" x14ac:dyDescent="0.25">
      <c r="A27" s="64">
        <v>26</v>
      </c>
      <c r="B27" s="65" t="s">
        <v>256</v>
      </c>
      <c r="C27" s="65" t="s">
        <v>1804</v>
      </c>
      <c r="D27" s="65" t="s">
        <v>1875</v>
      </c>
      <c r="E27" s="65" t="s">
        <v>1876</v>
      </c>
      <c r="F27" s="65" t="s">
        <v>1877</v>
      </c>
      <c r="G27" s="65" t="s">
        <v>552</v>
      </c>
      <c r="H27" s="65" t="s">
        <v>1878</v>
      </c>
      <c r="I27" s="65" t="s">
        <v>1761</v>
      </c>
      <c r="J27" s="65">
        <v>5</v>
      </c>
      <c r="K27" s="66" t="s">
        <v>1879</v>
      </c>
      <c r="L27" s="65" t="s">
        <v>1880</v>
      </c>
      <c r="M27" s="65" t="s">
        <v>1881</v>
      </c>
    </row>
    <row r="28" spans="1:13" ht="45" customHeight="1" x14ac:dyDescent="0.25">
      <c r="A28" s="73">
        <v>27</v>
      </c>
      <c r="B28" s="74" t="s">
        <v>257</v>
      </c>
      <c r="C28" s="74" t="s">
        <v>1804</v>
      </c>
      <c r="D28" s="74" t="s">
        <v>1759</v>
      </c>
      <c r="E28" s="74" t="s">
        <v>1882</v>
      </c>
      <c r="F28" s="74" t="s">
        <v>1877</v>
      </c>
      <c r="G28" s="74" t="s">
        <v>552</v>
      </c>
      <c r="H28" s="74" t="s">
        <v>1754</v>
      </c>
      <c r="I28" s="74" t="s">
        <v>1883</v>
      </c>
      <c r="J28" s="74">
        <v>5</v>
      </c>
      <c r="K28" s="75" t="s">
        <v>1884</v>
      </c>
      <c r="L28" s="74" t="s">
        <v>1880</v>
      </c>
      <c r="M28" s="74" t="s">
        <v>1881</v>
      </c>
    </row>
    <row r="29" spans="1:13" ht="45" customHeight="1" x14ac:dyDescent="0.25">
      <c r="A29" s="64">
        <v>28</v>
      </c>
      <c r="B29" s="65" t="s">
        <v>248</v>
      </c>
      <c r="C29" s="65" t="s">
        <v>1804</v>
      </c>
      <c r="D29" s="65" t="s">
        <v>1111</v>
      </c>
      <c r="E29" s="65" t="s">
        <v>1885</v>
      </c>
      <c r="F29" s="65" t="s">
        <v>1110</v>
      </c>
      <c r="G29" s="65" t="s">
        <v>552</v>
      </c>
      <c r="H29" s="65" t="s">
        <v>1886</v>
      </c>
      <c r="I29" s="65" t="s">
        <v>1783</v>
      </c>
      <c r="J29" s="65">
        <v>7</v>
      </c>
      <c r="K29" s="66" t="s">
        <v>1887</v>
      </c>
      <c r="L29" s="65" t="s">
        <v>1888</v>
      </c>
      <c r="M29" s="65" t="s">
        <v>558</v>
      </c>
    </row>
    <row r="30" spans="1:13" ht="45" customHeight="1" x14ac:dyDescent="0.25">
      <c r="A30" s="73">
        <v>29</v>
      </c>
      <c r="B30" s="74" t="s">
        <v>268</v>
      </c>
      <c r="C30" s="74" t="s">
        <v>1804</v>
      </c>
      <c r="D30" s="74" t="s">
        <v>1111</v>
      </c>
      <c r="E30" s="74" t="s">
        <v>1889</v>
      </c>
      <c r="F30" s="74" t="s">
        <v>1110</v>
      </c>
      <c r="G30" s="74" t="s">
        <v>552</v>
      </c>
      <c r="H30" s="74" t="s">
        <v>1890</v>
      </c>
      <c r="I30" s="74" t="s">
        <v>1783</v>
      </c>
      <c r="J30" s="74">
        <v>7</v>
      </c>
      <c r="K30" s="75" t="s">
        <v>1891</v>
      </c>
      <c r="L30" s="74" t="s">
        <v>1892</v>
      </c>
      <c r="M30" s="74" t="s">
        <v>558</v>
      </c>
    </row>
    <row r="31" spans="1:13" ht="45" customHeight="1" x14ac:dyDescent="0.25">
      <c r="A31" s="64">
        <v>30</v>
      </c>
      <c r="B31" s="65" t="s">
        <v>295</v>
      </c>
      <c r="C31" s="65" t="s">
        <v>1804</v>
      </c>
      <c r="D31" s="65" t="s">
        <v>634</v>
      </c>
      <c r="E31" s="65" t="s">
        <v>1893</v>
      </c>
      <c r="F31" s="65" t="s">
        <v>638</v>
      </c>
      <c r="G31" s="65" t="s">
        <v>1894</v>
      </c>
      <c r="H31" s="65" t="s">
        <v>1895</v>
      </c>
      <c r="I31" s="65" t="s">
        <v>1896</v>
      </c>
      <c r="J31" s="65">
        <v>5</v>
      </c>
      <c r="K31" s="66" t="s">
        <v>1897</v>
      </c>
      <c r="L31" s="65" t="s">
        <v>1898</v>
      </c>
      <c r="M31" s="65" t="s">
        <v>558</v>
      </c>
    </row>
    <row r="32" spans="1:13" ht="45" customHeight="1" x14ac:dyDescent="0.25">
      <c r="A32" s="67">
        <v>31</v>
      </c>
      <c r="B32" s="68" t="s">
        <v>148</v>
      </c>
      <c r="C32" s="68" t="s">
        <v>1765</v>
      </c>
      <c r="D32" s="68" t="s">
        <v>634</v>
      </c>
      <c r="E32" s="68" t="s">
        <v>1899</v>
      </c>
      <c r="F32" s="68" t="s">
        <v>1900</v>
      </c>
      <c r="G32" s="68" t="s">
        <v>552</v>
      </c>
      <c r="H32" s="68" t="s">
        <v>1742</v>
      </c>
      <c r="I32" s="68" t="s">
        <v>1896</v>
      </c>
      <c r="J32" s="68">
        <v>5</v>
      </c>
      <c r="K32" s="69" t="s">
        <v>1901</v>
      </c>
      <c r="L32" s="68" t="s">
        <v>1902</v>
      </c>
      <c r="M32" s="68" t="s">
        <v>558</v>
      </c>
    </row>
    <row r="33" spans="1:13" ht="45" customHeight="1" x14ac:dyDescent="0.25">
      <c r="A33" s="64">
        <v>32</v>
      </c>
      <c r="B33" s="65" t="s">
        <v>192</v>
      </c>
      <c r="C33" s="65" t="s">
        <v>1826</v>
      </c>
      <c r="D33" s="65" t="s">
        <v>1903</v>
      </c>
      <c r="E33" s="65" t="s">
        <v>1904</v>
      </c>
      <c r="F33" s="65" t="s">
        <v>1905</v>
      </c>
      <c r="G33" s="65" t="s">
        <v>552</v>
      </c>
      <c r="H33" s="65" t="s">
        <v>1906</v>
      </c>
      <c r="I33" s="65" t="s">
        <v>1851</v>
      </c>
      <c r="J33" s="65">
        <v>3</v>
      </c>
      <c r="K33" s="66" t="s">
        <v>1907</v>
      </c>
      <c r="L33" s="65" t="s">
        <v>1908</v>
      </c>
      <c r="M33" s="65" t="s">
        <v>558</v>
      </c>
    </row>
    <row r="34" spans="1:13" ht="45" customHeight="1" x14ac:dyDescent="0.25">
      <c r="A34" s="73">
        <v>33</v>
      </c>
      <c r="B34" s="74" t="s">
        <v>1909</v>
      </c>
      <c r="C34" s="74" t="s">
        <v>1804</v>
      </c>
      <c r="D34" s="74" t="s">
        <v>1841</v>
      </c>
      <c r="E34" s="74" t="s">
        <v>1904</v>
      </c>
      <c r="F34" s="74" t="s">
        <v>1905</v>
      </c>
      <c r="G34" s="74" t="s">
        <v>552</v>
      </c>
      <c r="H34" s="74" t="s">
        <v>1890</v>
      </c>
      <c r="I34" s="74" t="s">
        <v>1783</v>
      </c>
      <c r="J34" s="74">
        <v>3</v>
      </c>
      <c r="K34" s="75" t="s">
        <v>1910</v>
      </c>
      <c r="L34" s="74" t="s">
        <v>1911</v>
      </c>
      <c r="M34" s="74" t="s">
        <v>558</v>
      </c>
    </row>
    <row r="35" spans="1:13" ht="45" customHeight="1" x14ac:dyDescent="0.25">
      <c r="A35" s="64">
        <v>34</v>
      </c>
      <c r="B35" s="65" t="s">
        <v>289</v>
      </c>
      <c r="C35" s="65" t="s">
        <v>1804</v>
      </c>
      <c r="D35" s="65" t="s">
        <v>1815</v>
      </c>
      <c r="E35" s="65" t="s">
        <v>1816</v>
      </c>
      <c r="F35" s="65" t="s">
        <v>1912</v>
      </c>
      <c r="G35" s="65" t="s">
        <v>552</v>
      </c>
      <c r="H35" s="65" t="s">
        <v>1754</v>
      </c>
      <c r="I35" s="65" t="s">
        <v>1783</v>
      </c>
      <c r="J35" s="65">
        <v>3</v>
      </c>
      <c r="K35" s="66" t="s">
        <v>1913</v>
      </c>
      <c r="L35" s="65" t="s">
        <v>1914</v>
      </c>
      <c r="M35" s="65" t="s">
        <v>558</v>
      </c>
    </row>
    <row r="36" spans="1:13" ht="45" customHeight="1" x14ac:dyDescent="0.25">
      <c r="A36" s="73">
        <v>35</v>
      </c>
      <c r="B36" s="74" t="s">
        <v>1915</v>
      </c>
      <c r="C36" s="74" t="s">
        <v>1804</v>
      </c>
      <c r="D36" s="74" t="s">
        <v>1916</v>
      </c>
      <c r="E36" s="74" t="s">
        <v>1917</v>
      </c>
      <c r="F36" s="74" t="s">
        <v>1918</v>
      </c>
      <c r="G36" s="74" t="s">
        <v>552</v>
      </c>
      <c r="H36" s="74" t="s">
        <v>1919</v>
      </c>
      <c r="I36" s="74" t="s">
        <v>1783</v>
      </c>
      <c r="J36" s="74">
        <v>5</v>
      </c>
      <c r="K36" s="75" t="s">
        <v>1920</v>
      </c>
      <c r="L36" s="74" t="s">
        <v>1921</v>
      </c>
      <c r="M36" s="74" t="s">
        <v>558</v>
      </c>
    </row>
    <row r="37" spans="1:13" ht="45" customHeight="1" x14ac:dyDescent="0.25">
      <c r="A37" s="64">
        <v>36</v>
      </c>
      <c r="B37" s="65" t="s">
        <v>1922</v>
      </c>
      <c r="C37" s="65" t="s">
        <v>1804</v>
      </c>
      <c r="D37" s="65" t="s">
        <v>1923</v>
      </c>
      <c r="E37" s="65" t="s">
        <v>1924</v>
      </c>
      <c r="F37" s="65" t="s">
        <v>1925</v>
      </c>
      <c r="G37" s="65" t="s">
        <v>552</v>
      </c>
      <c r="H37" s="65" t="s">
        <v>1919</v>
      </c>
      <c r="I37" s="65" t="s">
        <v>1783</v>
      </c>
      <c r="J37" s="65">
        <v>5</v>
      </c>
      <c r="K37" s="66" t="s">
        <v>1926</v>
      </c>
      <c r="L37" s="65" t="s">
        <v>1927</v>
      </c>
      <c r="M37" s="65" t="s">
        <v>558</v>
      </c>
    </row>
    <row r="38" spans="1:13" ht="45" customHeight="1" x14ac:dyDescent="0.25">
      <c r="A38" s="73">
        <v>37</v>
      </c>
      <c r="B38" s="74" t="s">
        <v>1928</v>
      </c>
      <c r="C38" s="74" t="s">
        <v>1804</v>
      </c>
      <c r="D38" s="74" t="s">
        <v>1929</v>
      </c>
      <c r="E38" s="74" t="s">
        <v>1930</v>
      </c>
      <c r="F38" s="74" t="s">
        <v>1931</v>
      </c>
      <c r="G38" s="74" t="s">
        <v>552</v>
      </c>
      <c r="H38" s="74" t="s">
        <v>1919</v>
      </c>
      <c r="I38" s="74" t="s">
        <v>1783</v>
      </c>
      <c r="J38" s="74">
        <v>5</v>
      </c>
      <c r="K38" s="75" t="s">
        <v>1920</v>
      </c>
      <c r="L38" s="74" t="s">
        <v>1932</v>
      </c>
      <c r="M38" s="74" t="s">
        <v>558</v>
      </c>
    </row>
    <row r="39" spans="1:13" ht="45" customHeight="1" x14ac:dyDescent="0.25">
      <c r="A39" s="64">
        <v>38</v>
      </c>
      <c r="B39" s="65" t="s">
        <v>261</v>
      </c>
      <c r="C39" s="65" t="s">
        <v>1804</v>
      </c>
      <c r="D39" s="65" t="s">
        <v>1933</v>
      </c>
      <c r="E39" s="65" t="s">
        <v>1934</v>
      </c>
      <c r="F39" s="65" t="s">
        <v>1935</v>
      </c>
      <c r="G39" s="65" t="s">
        <v>552</v>
      </c>
      <c r="H39" s="65" t="s">
        <v>1936</v>
      </c>
      <c r="I39" s="65" t="s">
        <v>1937</v>
      </c>
      <c r="J39" s="65">
        <v>5</v>
      </c>
      <c r="K39" s="66" t="s">
        <v>1938</v>
      </c>
      <c r="L39" s="65" t="s">
        <v>1939</v>
      </c>
      <c r="M39" s="65" t="s">
        <v>1940</v>
      </c>
    </row>
    <row r="40" spans="1:13" ht="45" customHeight="1" x14ac:dyDescent="0.25">
      <c r="A40" s="73">
        <v>39</v>
      </c>
      <c r="B40" s="74" t="s">
        <v>265</v>
      </c>
      <c r="C40" s="74" t="s">
        <v>1804</v>
      </c>
      <c r="D40" s="74" t="s">
        <v>1156</v>
      </c>
      <c r="E40" s="74" t="s">
        <v>1941</v>
      </c>
      <c r="F40" s="74" t="s">
        <v>1942</v>
      </c>
      <c r="G40" s="74" t="s">
        <v>552</v>
      </c>
      <c r="H40" s="74" t="s">
        <v>1943</v>
      </c>
      <c r="I40" s="74" t="s">
        <v>1944</v>
      </c>
      <c r="J40" s="74">
        <v>5</v>
      </c>
      <c r="K40" s="75" t="s">
        <v>1945</v>
      </c>
      <c r="L40" s="74" t="s">
        <v>1946</v>
      </c>
      <c r="M40" s="74" t="s">
        <v>1940</v>
      </c>
    </row>
    <row r="41" spans="1:13" ht="45" customHeight="1" x14ac:dyDescent="0.25">
      <c r="A41" s="64">
        <v>40</v>
      </c>
      <c r="B41" s="65" t="s">
        <v>509</v>
      </c>
      <c r="C41" s="65" t="s">
        <v>1947</v>
      </c>
      <c r="D41" s="65" t="s">
        <v>986</v>
      </c>
      <c r="E41" s="65" t="s">
        <v>1948</v>
      </c>
      <c r="F41" s="65" t="s">
        <v>1339</v>
      </c>
      <c r="G41" s="65" t="s">
        <v>552</v>
      </c>
      <c r="H41" s="65" t="s">
        <v>1949</v>
      </c>
      <c r="I41" s="65" t="s">
        <v>1950</v>
      </c>
      <c r="J41" s="65">
        <v>5</v>
      </c>
      <c r="K41" s="66" t="s">
        <v>1951</v>
      </c>
      <c r="L41" s="65" t="s">
        <v>1952</v>
      </c>
      <c r="M41" s="65" t="s">
        <v>558</v>
      </c>
    </row>
    <row r="42" spans="1:13" ht="45" customHeight="1" x14ac:dyDescent="0.25">
      <c r="A42" s="73">
        <v>41</v>
      </c>
      <c r="B42" s="74" t="s">
        <v>1953</v>
      </c>
      <c r="C42" s="74" t="s">
        <v>1804</v>
      </c>
      <c r="D42" s="74" t="s">
        <v>1954</v>
      </c>
      <c r="E42" s="74" t="s">
        <v>1955</v>
      </c>
      <c r="F42" s="74" t="s">
        <v>1339</v>
      </c>
      <c r="G42" s="74" t="s">
        <v>552</v>
      </c>
      <c r="H42" s="74" t="s">
        <v>1956</v>
      </c>
      <c r="I42" s="74" t="s">
        <v>1957</v>
      </c>
      <c r="J42" s="74">
        <v>5</v>
      </c>
      <c r="K42" s="75" t="s">
        <v>1958</v>
      </c>
      <c r="L42" s="74" t="s">
        <v>1959</v>
      </c>
      <c r="M42" s="74" t="s">
        <v>558</v>
      </c>
    </row>
    <row r="43" spans="1:13" ht="45" customHeight="1" x14ac:dyDescent="0.25">
      <c r="A43" s="64">
        <v>42</v>
      </c>
      <c r="B43" s="65" t="s">
        <v>1960</v>
      </c>
      <c r="C43" s="65" t="s">
        <v>1804</v>
      </c>
      <c r="D43" s="65" t="s">
        <v>986</v>
      </c>
      <c r="E43" s="65" t="s">
        <v>1955</v>
      </c>
      <c r="F43" s="65" t="s">
        <v>1339</v>
      </c>
      <c r="G43" s="65" t="s">
        <v>552</v>
      </c>
      <c r="H43" s="65" t="s">
        <v>1956</v>
      </c>
      <c r="I43" s="65" t="s">
        <v>1957</v>
      </c>
      <c r="J43" s="65">
        <v>5</v>
      </c>
      <c r="K43" s="66" t="s">
        <v>1961</v>
      </c>
      <c r="L43" s="65" t="s">
        <v>1962</v>
      </c>
      <c r="M43" s="65" t="s">
        <v>558</v>
      </c>
    </row>
    <row r="44" spans="1:13" ht="45" customHeight="1" x14ac:dyDescent="0.25">
      <c r="A44" s="70">
        <v>43</v>
      </c>
      <c r="B44" s="71" t="s">
        <v>498</v>
      </c>
      <c r="C44" s="71" t="s">
        <v>1791</v>
      </c>
      <c r="D44" s="71" t="s">
        <v>619</v>
      </c>
      <c r="E44" s="71" t="s">
        <v>1963</v>
      </c>
      <c r="F44" s="71" t="s">
        <v>1793</v>
      </c>
      <c r="G44" s="71" t="s">
        <v>552</v>
      </c>
      <c r="H44" s="71" t="s">
        <v>1794</v>
      </c>
      <c r="I44" s="71" t="s">
        <v>1964</v>
      </c>
      <c r="J44" s="71">
        <v>3</v>
      </c>
      <c r="K44" s="72" t="s">
        <v>1965</v>
      </c>
      <c r="L44" s="71" t="s">
        <v>1966</v>
      </c>
      <c r="M44" s="71" t="s">
        <v>570</v>
      </c>
    </row>
    <row r="45" spans="1:13" ht="45" customHeight="1" x14ac:dyDescent="0.25">
      <c r="A45" s="64">
        <v>44</v>
      </c>
      <c r="B45" s="65" t="s">
        <v>304</v>
      </c>
      <c r="C45" s="65" t="s">
        <v>1804</v>
      </c>
      <c r="D45" s="65" t="s">
        <v>1967</v>
      </c>
      <c r="E45" s="65" t="s">
        <v>1968</v>
      </c>
      <c r="F45" s="65" t="s">
        <v>1969</v>
      </c>
      <c r="G45" s="65" t="s">
        <v>552</v>
      </c>
      <c r="H45" s="65" t="s">
        <v>1754</v>
      </c>
      <c r="I45" s="65" t="s">
        <v>1800</v>
      </c>
      <c r="J45" s="65">
        <v>3</v>
      </c>
      <c r="K45" s="66" t="s">
        <v>1970</v>
      </c>
      <c r="L45" s="65" t="s">
        <v>1971</v>
      </c>
      <c r="M45" s="65" t="s">
        <v>570</v>
      </c>
    </row>
    <row r="46" spans="1:13" ht="45" customHeight="1" x14ac:dyDescent="0.25">
      <c r="A46" s="76">
        <v>45</v>
      </c>
      <c r="B46" s="77" t="s">
        <v>1972</v>
      </c>
      <c r="C46" s="77" t="s">
        <v>1973</v>
      </c>
      <c r="D46" s="77" t="s">
        <v>1974</v>
      </c>
      <c r="E46" s="77" t="s">
        <v>1975</v>
      </c>
      <c r="F46" s="77" t="s">
        <v>1976</v>
      </c>
      <c r="G46" s="77" t="s">
        <v>552</v>
      </c>
      <c r="H46" s="77" t="s">
        <v>1977</v>
      </c>
      <c r="I46" s="77" t="s">
        <v>1978</v>
      </c>
      <c r="J46" s="77">
        <v>5</v>
      </c>
      <c r="K46" s="78" t="s">
        <v>1979</v>
      </c>
      <c r="L46" s="77" t="s">
        <v>1980</v>
      </c>
      <c r="M46" s="77" t="s">
        <v>558</v>
      </c>
    </row>
    <row r="47" spans="1:13" ht="45" customHeight="1" x14ac:dyDescent="0.25">
      <c r="A47" s="64">
        <v>46</v>
      </c>
      <c r="B47" s="65" t="s">
        <v>1981</v>
      </c>
      <c r="C47" s="65" t="s">
        <v>1973</v>
      </c>
      <c r="D47" s="65" t="s">
        <v>1982</v>
      </c>
      <c r="E47" s="65" t="s">
        <v>1983</v>
      </c>
      <c r="F47" s="65" t="s">
        <v>1984</v>
      </c>
      <c r="G47" s="65" t="s">
        <v>552</v>
      </c>
      <c r="H47" s="65" t="s">
        <v>1985</v>
      </c>
      <c r="I47" s="65" t="s">
        <v>1986</v>
      </c>
      <c r="J47" s="65">
        <v>5</v>
      </c>
      <c r="K47" s="66" t="s">
        <v>1987</v>
      </c>
      <c r="L47" s="65" t="s">
        <v>1988</v>
      </c>
      <c r="M47" s="65" t="s">
        <v>558</v>
      </c>
    </row>
    <row r="48" spans="1:13" ht="45" customHeight="1" x14ac:dyDescent="0.25">
      <c r="A48" s="67">
        <v>47</v>
      </c>
      <c r="B48" s="68" t="s">
        <v>358</v>
      </c>
      <c r="C48" s="68" t="s">
        <v>1989</v>
      </c>
      <c r="D48" s="68" t="s">
        <v>1990</v>
      </c>
      <c r="E48" s="68" t="s">
        <v>1991</v>
      </c>
      <c r="F48" s="68" t="s">
        <v>1992</v>
      </c>
      <c r="G48" s="68" t="s">
        <v>552</v>
      </c>
      <c r="H48" s="68" t="s">
        <v>1742</v>
      </c>
      <c r="I48" s="68" t="s">
        <v>1993</v>
      </c>
      <c r="J48" s="68">
        <v>5</v>
      </c>
      <c r="K48" s="69" t="s">
        <v>1994</v>
      </c>
      <c r="L48" s="68" t="s">
        <v>1995</v>
      </c>
      <c r="M48" s="68" t="s">
        <v>558</v>
      </c>
    </row>
    <row r="49" spans="1:13" ht="45" customHeight="1" x14ac:dyDescent="0.25">
      <c r="A49" s="64">
        <v>48</v>
      </c>
      <c r="B49" s="65" t="s">
        <v>360</v>
      </c>
      <c r="C49" s="65" t="s">
        <v>1989</v>
      </c>
      <c r="D49" s="65" t="s">
        <v>1751</v>
      </c>
      <c r="E49" s="65" t="s">
        <v>1996</v>
      </c>
      <c r="F49" s="65" t="s">
        <v>1997</v>
      </c>
      <c r="G49" s="65" t="s">
        <v>552</v>
      </c>
      <c r="H49" s="65" t="s">
        <v>1998</v>
      </c>
      <c r="I49" s="65" t="s">
        <v>1755</v>
      </c>
      <c r="J49" s="65">
        <v>7</v>
      </c>
      <c r="K49" s="66" t="s">
        <v>1999</v>
      </c>
      <c r="L49" s="65" t="s">
        <v>2000</v>
      </c>
      <c r="M49" s="65" t="s">
        <v>1858</v>
      </c>
    </row>
    <row r="50" spans="1:13" ht="45" customHeight="1" x14ac:dyDescent="0.25">
      <c r="A50" s="67">
        <v>49</v>
      </c>
      <c r="B50" s="68" t="s">
        <v>361</v>
      </c>
      <c r="C50" s="68" t="s">
        <v>1989</v>
      </c>
      <c r="D50" s="68" t="s">
        <v>1759</v>
      </c>
      <c r="E50" s="68" t="s">
        <v>2001</v>
      </c>
      <c r="F50" s="68" t="s">
        <v>2002</v>
      </c>
      <c r="G50" s="68" t="s">
        <v>552</v>
      </c>
      <c r="H50" s="68" t="s">
        <v>2003</v>
      </c>
      <c r="I50" s="68" t="s">
        <v>1883</v>
      </c>
      <c r="J50" s="68">
        <v>5</v>
      </c>
      <c r="K50" s="69" t="s">
        <v>2004</v>
      </c>
      <c r="L50" s="68" t="s">
        <v>2005</v>
      </c>
      <c r="M50" s="68" t="s">
        <v>1881</v>
      </c>
    </row>
    <row r="51" spans="1:13" ht="45" customHeight="1" x14ac:dyDescent="0.25">
      <c r="A51" s="64">
        <v>50</v>
      </c>
      <c r="B51" s="65" t="s">
        <v>355</v>
      </c>
      <c r="C51" s="65" t="s">
        <v>1989</v>
      </c>
      <c r="D51" s="65" t="s">
        <v>2006</v>
      </c>
      <c r="E51" s="65" t="s">
        <v>2007</v>
      </c>
      <c r="F51" s="65" t="s">
        <v>2008</v>
      </c>
      <c r="G51" s="65" t="s">
        <v>552</v>
      </c>
      <c r="H51" s="65" t="s">
        <v>2009</v>
      </c>
      <c r="I51" s="65" t="s">
        <v>2010</v>
      </c>
      <c r="J51" s="65">
        <v>3</v>
      </c>
      <c r="K51" s="66" t="s">
        <v>2011</v>
      </c>
      <c r="L51" s="65" t="s">
        <v>2012</v>
      </c>
      <c r="M51" s="65" t="s">
        <v>570</v>
      </c>
    </row>
    <row r="52" spans="1:13" ht="45" customHeight="1" x14ac:dyDescent="0.25">
      <c r="A52" s="67">
        <v>51</v>
      </c>
      <c r="B52" s="68" t="s">
        <v>369</v>
      </c>
      <c r="C52" s="68" t="s">
        <v>1989</v>
      </c>
      <c r="D52" s="68" t="s">
        <v>2013</v>
      </c>
      <c r="E52" s="68" t="s">
        <v>2014</v>
      </c>
      <c r="F52" s="68" t="s">
        <v>2015</v>
      </c>
      <c r="G52" s="68" t="s">
        <v>2016</v>
      </c>
      <c r="H52" s="68" t="s">
        <v>2017</v>
      </c>
      <c r="I52" s="68" t="s">
        <v>2018</v>
      </c>
      <c r="J52" s="68">
        <v>7</v>
      </c>
      <c r="K52" s="69" t="s">
        <v>2019</v>
      </c>
      <c r="L52" s="68" t="s">
        <v>2020</v>
      </c>
      <c r="M52" s="68" t="s">
        <v>2021</v>
      </c>
    </row>
    <row r="53" spans="1:13" ht="45" customHeight="1" x14ac:dyDescent="0.25">
      <c r="A53" s="64">
        <v>52</v>
      </c>
      <c r="B53" s="65" t="s">
        <v>467</v>
      </c>
      <c r="C53" s="65" t="s">
        <v>2022</v>
      </c>
      <c r="D53" s="65" t="s">
        <v>2023</v>
      </c>
      <c r="E53" s="65" t="s">
        <v>2024</v>
      </c>
      <c r="F53" s="65" t="s">
        <v>2025</v>
      </c>
      <c r="G53" s="65" t="s">
        <v>552</v>
      </c>
      <c r="H53" s="65" t="s">
        <v>1742</v>
      </c>
      <c r="I53" s="65" t="s">
        <v>2026</v>
      </c>
      <c r="J53" s="65">
        <v>5</v>
      </c>
      <c r="K53" s="66" t="s">
        <v>2027</v>
      </c>
      <c r="L53" s="65" t="s">
        <v>2028</v>
      </c>
      <c r="M53" s="65" t="s">
        <v>558</v>
      </c>
    </row>
    <row r="54" spans="1:13" ht="45" customHeight="1" x14ac:dyDescent="0.25">
      <c r="A54" s="61">
        <v>53</v>
      </c>
      <c r="B54" s="62" t="s">
        <v>2029</v>
      </c>
      <c r="C54" s="62" t="s">
        <v>2022</v>
      </c>
      <c r="D54" s="62" t="s">
        <v>2030</v>
      </c>
      <c r="E54" s="62" t="s">
        <v>2031</v>
      </c>
      <c r="F54" s="62" t="s">
        <v>2032</v>
      </c>
      <c r="G54" s="62" t="s">
        <v>552</v>
      </c>
      <c r="H54" s="62" t="s">
        <v>1742</v>
      </c>
      <c r="I54" s="62" t="s">
        <v>1783</v>
      </c>
      <c r="J54" s="62">
        <v>5</v>
      </c>
      <c r="K54" s="63" t="s">
        <v>2033</v>
      </c>
      <c r="L54" s="62" t="s">
        <v>133</v>
      </c>
      <c r="M54" s="62" t="s">
        <v>558</v>
      </c>
    </row>
    <row r="55" spans="1:13" ht="45" customHeight="1" x14ac:dyDescent="0.25">
      <c r="A55" s="64">
        <v>54</v>
      </c>
      <c r="B55" s="65" t="s">
        <v>476</v>
      </c>
      <c r="C55" s="65" t="s">
        <v>2034</v>
      </c>
      <c r="D55" s="65" t="s">
        <v>2035</v>
      </c>
      <c r="E55" s="65" t="s">
        <v>2036</v>
      </c>
      <c r="F55" s="65" t="s">
        <v>2037</v>
      </c>
      <c r="G55" s="65" t="s">
        <v>552</v>
      </c>
      <c r="H55" s="65" t="s">
        <v>2038</v>
      </c>
      <c r="I55" s="65" t="s">
        <v>2039</v>
      </c>
      <c r="J55" s="65">
        <v>5</v>
      </c>
      <c r="K55" s="66" t="s">
        <v>2040</v>
      </c>
      <c r="L55" s="65" t="s">
        <v>2041</v>
      </c>
      <c r="M55" s="65" t="s">
        <v>558</v>
      </c>
    </row>
    <row r="56" spans="1:13" ht="45" customHeight="1" x14ac:dyDescent="0.25">
      <c r="A56" s="79">
        <v>55</v>
      </c>
      <c r="B56" s="80" t="s">
        <v>477</v>
      </c>
      <c r="C56" s="80" t="s">
        <v>2034</v>
      </c>
      <c r="D56" s="80" t="s">
        <v>1751</v>
      </c>
      <c r="E56" s="80" t="s">
        <v>2042</v>
      </c>
      <c r="F56" s="80" t="s">
        <v>2043</v>
      </c>
      <c r="G56" s="80" t="s">
        <v>2044</v>
      </c>
      <c r="H56" s="80" t="s">
        <v>1895</v>
      </c>
      <c r="I56" s="80" t="s">
        <v>1755</v>
      </c>
      <c r="J56" s="80">
        <v>7</v>
      </c>
      <c r="K56" s="81" t="s">
        <v>2045</v>
      </c>
      <c r="L56" s="80" t="s">
        <v>2046</v>
      </c>
      <c r="M56" s="80" t="s">
        <v>1858</v>
      </c>
    </row>
    <row r="57" spans="1:13" ht="45" customHeight="1" x14ac:dyDescent="0.25">
      <c r="A57" s="64">
        <v>56</v>
      </c>
      <c r="B57" s="65" t="s">
        <v>475</v>
      </c>
      <c r="C57" s="65" t="s">
        <v>2034</v>
      </c>
      <c r="D57" s="65" t="s">
        <v>1759</v>
      </c>
      <c r="E57" s="65" t="s">
        <v>2047</v>
      </c>
      <c r="F57" s="65" t="s">
        <v>1877</v>
      </c>
      <c r="G57" s="65" t="s">
        <v>2044</v>
      </c>
      <c r="H57" s="65" t="s">
        <v>1895</v>
      </c>
      <c r="I57" s="65" t="s">
        <v>2048</v>
      </c>
      <c r="J57" s="65">
        <v>5</v>
      </c>
      <c r="K57" s="66" t="s">
        <v>2049</v>
      </c>
      <c r="L57" s="65" t="s">
        <v>2050</v>
      </c>
      <c r="M57" s="65" t="s">
        <v>1881</v>
      </c>
    </row>
    <row r="58" spans="1:13" ht="45" customHeight="1" x14ac:dyDescent="0.25">
      <c r="A58" s="82">
        <v>57</v>
      </c>
      <c r="B58" s="83" t="s">
        <v>2051</v>
      </c>
      <c r="C58" s="83" t="s">
        <v>2052</v>
      </c>
      <c r="D58" s="83" t="s">
        <v>2053</v>
      </c>
      <c r="E58" s="83" t="s">
        <v>2054</v>
      </c>
      <c r="F58" s="83" t="s">
        <v>2036</v>
      </c>
      <c r="G58" s="83" t="s">
        <v>552</v>
      </c>
      <c r="H58" s="83" t="s">
        <v>1742</v>
      </c>
      <c r="I58" s="83" t="s">
        <v>2055</v>
      </c>
      <c r="J58" s="83">
        <v>5</v>
      </c>
      <c r="K58" s="84" t="s">
        <v>2056</v>
      </c>
      <c r="L58" s="83" t="s">
        <v>2057</v>
      </c>
      <c r="M58" s="83" t="s">
        <v>558</v>
      </c>
    </row>
    <row r="59" spans="1:13" ht="45" customHeight="1" x14ac:dyDescent="0.25">
      <c r="A59" s="64">
        <v>58</v>
      </c>
      <c r="B59" s="65" t="s">
        <v>2058</v>
      </c>
      <c r="C59" s="65" t="s">
        <v>2052</v>
      </c>
      <c r="D59" s="65" t="s">
        <v>580</v>
      </c>
      <c r="E59" s="65" t="s">
        <v>2059</v>
      </c>
      <c r="F59" s="65" t="s">
        <v>1787</v>
      </c>
      <c r="G59" s="65" t="s">
        <v>552</v>
      </c>
      <c r="H59" s="65" t="s">
        <v>1890</v>
      </c>
      <c r="I59" s="65" t="s">
        <v>1783</v>
      </c>
      <c r="J59" s="65">
        <v>5</v>
      </c>
      <c r="K59" s="66" t="s">
        <v>2060</v>
      </c>
      <c r="L59" s="65" t="s">
        <v>2061</v>
      </c>
      <c r="M59" s="65" t="s">
        <v>558</v>
      </c>
    </row>
    <row r="60" spans="1:13" ht="45" customHeight="1" x14ac:dyDescent="0.25">
      <c r="A60" s="82">
        <v>59</v>
      </c>
      <c r="B60" s="83" t="s">
        <v>480</v>
      </c>
      <c r="C60" s="83" t="s">
        <v>2052</v>
      </c>
      <c r="D60" s="83" t="s">
        <v>619</v>
      </c>
      <c r="E60" s="83" t="s">
        <v>2062</v>
      </c>
      <c r="F60" s="83" t="s">
        <v>1793</v>
      </c>
      <c r="G60" s="83" t="s">
        <v>552</v>
      </c>
      <c r="H60" s="83" t="s">
        <v>1794</v>
      </c>
      <c r="I60" s="83" t="s">
        <v>2063</v>
      </c>
      <c r="J60" s="83">
        <v>3</v>
      </c>
      <c r="K60" s="84" t="s">
        <v>2064</v>
      </c>
      <c r="L60" s="83" t="s">
        <v>2065</v>
      </c>
      <c r="M60" s="83" t="s">
        <v>570</v>
      </c>
    </row>
    <row r="61" spans="1:13" ht="45" customHeight="1" x14ac:dyDescent="0.25">
      <c r="A61" s="64">
        <v>60</v>
      </c>
      <c r="B61" s="65" t="s">
        <v>2066</v>
      </c>
      <c r="C61" s="65" t="s">
        <v>1765</v>
      </c>
      <c r="D61" s="65" t="s">
        <v>2067</v>
      </c>
      <c r="E61" s="65" t="s">
        <v>2068</v>
      </c>
      <c r="F61" s="65" t="s">
        <v>2069</v>
      </c>
      <c r="G61" s="65" t="s">
        <v>2070</v>
      </c>
      <c r="H61" s="65" t="s">
        <v>1742</v>
      </c>
      <c r="I61" s="65" t="s">
        <v>2071</v>
      </c>
      <c r="J61" s="65">
        <v>5</v>
      </c>
      <c r="K61" s="66" t="s">
        <v>2072</v>
      </c>
      <c r="L61" s="65" t="s">
        <v>2073</v>
      </c>
      <c r="M61" s="65" t="s">
        <v>558</v>
      </c>
    </row>
  </sheetData>
  <autoFilter ref="A1:M1"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27"/>
  <sheetViews>
    <sheetView tabSelected="1" topLeftCell="A75" zoomScaleNormal="100" workbookViewId="0">
      <selection activeCell="A79" sqref="A79"/>
    </sheetView>
  </sheetViews>
  <sheetFormatPr defaultColWidth="8.7109375" defaultRowHeight="15" x14ac:dyDescent="0.25"/>
  <cols>
    <col min="1" max="1" width="55" customWidth="1"/>
    <col min="2" max="2" width="65" customWidth="1"/>
  </cols>
  <sheetData>
    <row r="1" spans="1:2" ht="30" customHeight="1" x14ac:dyDescent="0.25">
      <c r="A1" s="131" t="s">
        <v>2074</v>
      </c>
      <c r="B1" s="131"/>
    </row>
    <row r="2" spans="1:2" ht="30" customHeight="1" x14ac:dyDescent="0.25">
      <c r="A2" s="114" t="s">
        <v>2075</v>
      </c>
      <c r="B2" s="114"/>
    </row>
    <row r="4" spans="1:2" ht="30" customHeight="1" x14ac:dyDescent="0.25">
      <c r="A4" s="132" t="s">
        <v>2076</v>
      </c>
      <c r="B4" s="132"/>
    </row>
    <row r="5" spans="1:2" ht="30" customHeight="1" x14ac:dyDescent="0.25">
      <c r="A5" s="85" t="s">
        <v>2077</v>
      </c>
      <c r="B5" s="86" t="s">
        <v>2078</v>
      </c>
    </row>
    <row r="7" spans="1:2" ht="30" customHeight="1" x14ac:dyDescent="0.25">
      <c r="A7" s="133" t="s">
        <v>2079</v>
      </c>
      <c r="B7" s="133"/>
    </row>
    <row r="8" spans="1:2" ht="30" customHeight="1" x14ac:dyDescent="0.25">
      <c r="A8" s="87" t="s">
        <v>2080</v>
      </c>
      <c r="B8" s="88" t="s">
        <v>2081</v>
      </c>
    </row>
    <row r="9" spans="1:2" ht="30" customHeight="1" x14ac:dyDescent="0.25">
      <c r="A9" s="89" t="s">
        <v>2082</v>
      </c>
      <c r="B9" s="90" t="s">
        <v>2083</v>
      </c>
    </row>
    <row r="10" spans="1:2" ht="30" customHeight="1" x14ac:dyDescent="0.25">
      <c r="A10" s="87" t="s">
        <v>2084</v>
      </c>
      <c r="B10" s="88" t="s">
        <v>2085</v>
      </c>
    </row>
    <row r="11" spans="1:2" ht="30" customHeight="1" x14ac:dyDescent="0.25">
      <c r="A11" s="89" t="s">
        <v>2086</v>
      </c>
      <c r="B11" s="90" t="s">
        <v>2087</v>
      </c>
    </row>
    <row r="12" spans="1:2" ht="30" customHeight="1" x14ac:dyDescent="0.25">
      <c r="A12" s="87" t="s">
        <v>2088</v>
      </c>
      <c r="B12" s="88" t="s">
        <v>2089</v>
      </c>
    </row>
    <row r="13" spans="1:2" ht="30" customHeight="1" x14ac:dyDescent="0.25">
      <c r="A13" s="89" t="s">
        <v>2090</v>
      </c>
      <c r="B13" s="90" t="s">
        <v>2091</v>
      </c>
    </row>
    <row r="14" spans="1:2" ht="30" customHeight="1" x14ac:dyDescent="0.25">
      <c r="A14" s="87" t="s">
        <v>2092</v>
      </c>
      <c r="B14" s="88" t="s">
        <v>2093</v>
      </c>
    </row>
    <row r="15" spans="1:2" ht="30" customHeight="1" x14ac:dyDescent="0.25">
      <c r="A15" s="89" t="s">
        <v>2094</v>
      </c>
      <c r="B15" s="90" t="s">
        <v>2095</v>
      </c>
    </row>
    <row r="16" spans="1:2" ht="30" customHeight="1" x14ac:dyDescent="0.25">
      <c r="A16" s="87" t="s">
        <v>2096</v>
      </c>
      <c r="B16" s="88" t="s">
        <v>2097</v>
      </c>
    </row>
    <row r="17" spans="1:2" ht="30" customHeight="1" x14ac:dyDescent="0.25">
      <c r="A17" s="89" t="s">
        <v>2098</v>
      </c>
      <c r="B17" s="90" t="s">
        <v>2099</v>
      </c>
    </row>
    <row r="18" spans="1:2" ht="30" customHeight="1" x14ac:dyDescent="0.25">
      <c r="A18" s="87" t="s">
        <v>2100</v>
      </c>
      <c r="B18" s="88" t="s">
        <v>2101</v>
      </c>
    </row>
    <row r="20" spans="1:2" ht="30" customHeight="1" x14ac:dyDescent="0.25">
      <c r="A20" s="134" t="s">
        <v>2102</v>
      </c>
      <c r="B20" s="134"/>
    </row>
    <row r="21" spans="1:2" ht="30" customHeight="1" x14ac:dyDescent="0.25">
      <c r="A21" s="87" t="s">
        <v>1739</v>
      </c>
      <c r="B21" s="88" t="s">
        <v>2103</v>
      </c>
    </row>
    <row r="22" spans="1:2" ht="30" customHeight="1" x14ac:dyDescent="0.25">
      <c r="A22" s="89" t="s">
        <v>2104</v>
      </c>
      <c r="B22" s="90" t="s">
        <v>2105</v>
      </c>
    </row>
    <row r="23" spans="1:2" ht="30" customHeight="1" x14ac:dyDescent="0.25">
      <c r="A23" s="87" t="s">
        <v>2106</v>
      </c>
      <c r="B23" s="88" t="s">
        <v>2107</v>
      </c>
    </row>
    <row r="24" spans="1:2" ht="30" customHeight="1" x14ac:dyDescent="0.25">
      <c r="A24" s="89" t="s">
        <v>1765</v>
      </c>
      <c r="B24" s="90" t="s">
        <v>2108</v>
      </c>
    </row>
    <row r="25" spans="1:2" ht="30" customHeight="1" x14ac:dyDescent="0.25">
      <c r="A25" s="87" t="s">
        <v>1826</v>
      </c>
      <c r="B25" s="88" t="s">
        <v>2109</v>
      </c>
    </row>
    <row r="26" spans="1:2" ht="30" customHeight="1" x14ac:dyDescent="0.25">
      <c r="A26" s="89" t="s">
        <v>1804</v>
      </c>
      <c r="B26" s="90" t="s">
        <v>2110</v>
      </c>
    </row>
    <row r="27" spans="1:2" ht="30" customHeight="1" x14ac:dyDescent="0.25">
      <c r="A27" s="87" t="s">
        <v>1989</v>
      </c>
      <c r="B27" s="88" t="s">
        <v>2111</v>
      </c>
    </row>
    <row r="28" spans="1:2" ht="30" customHeight="1" x14ac:dyDescent="0.25">
      <c r="A28" s="89" t="s">
        <v>2022</v>
      </c>
      <c r="B28" s="90" t="s">
        <v>2112</v>
      </c>
    </row>
    <row r="29" spans="1:2" ht="30" customHeight="1" x14ac:dyDescent="0.25">
      <c r="A29" s="87" t="s">
        <v>2034</v>
      </c>
      <c r="B29" s="88" t="s">
        <v>2113</v>
      </c>
    </row>
    <row r="30" spans="1:2" ht="30" customHeight="1" x14ac:dyDescent="0.25">
      <c r="A30" s="89" t="s">
        <v>2052</v>
      </c>
      <c r="B30" s="90" t="s">
        <v>2114</v>
      </c>
    </row>
    <row r="31" spans="1:2" ht="30" customHeight="1" x14ac:dyDescent="0.25">
      <c r="A31" s="87" t="s">
        <v>1973</v>
      </c>
      <c r="B31" s="88" t="s">
        <v>2115</v>
      </c>
    </row>
    <row r="32" spans="1:2" ht="30" customHeight="1" x14ac:dyDescent="0.25">
      <c r="A32" s="89" t="s">
        <v>1791</v>
      </c>
      <c r="B32" s="90" t="s">
        <v>2116</v>
      </c>
    </row>
    <row r="33" spans="1:2" ht="30" customHeight="1" x14ac:dyDescent="0.25">
      <c r="A33" s="87" t="s">
        <v>1947</v>
      </c>
      <c r="B33" s="88" t="s">
        <v>2117</v>
      </c>
    </row>
    <row r="34" spans="1:2" ht="30" customHeight="1" x14ac:dyDescent="0.25">
      <c r="A34" s="89" t="s">
        <v>2118</v>
      </c>
      <c r="B34" s="90" t="s">
        <v>2119</v>
      </c>
    </row>
    <row r="35" spans="1:2" ht="30" customHeight="1" x14ac:dyDescent="0.25">
      <c r="A35" s="87" t="s">
        <v>2120</v>
      </c>
      <c r="B35" s="88" t="s">
        <v>2121</v>
      </c>
    </row>
    <row r="36" spans="1:2" ht="30" customHeight="1" x14ac:dyDescent="0.25">
      <c r="A36" s="91" t="s">
        <v>2122</v>
      </c>
      <c r="B36" s="92" t="s">
        <v>2123</v>
      </c>
    </row>
    <row r="38" spans="1:2" ht="30" customHeight="1" x14ac:dyDescent="0.25">
      <c r="A38" s="127" t="s">
        <v>2124</v>
      </c>
      <c r="B38" s="127"/>
    </row>
    <row r="39" spans="1:2" ht="30" customHeight="1" x14ac:dyDescent="0.25">
      <c r="A39" s="87" t="s">
        <v>2125</v>
      </c>
      <c r="B39" s="88" t="s">
        <v>2126</v>
      </c>
    </row>
    <row r="40" spans="1:2" ht="30" customHeight="1" x14ac:dyDescent="0.25">
      <c r="A40" s="89" t="s">
        <v>2127</v>
      </c>
      <c r="B40" s="90" t="s">
        <v>2128</v>
      </c>
    </row>
    <row r="41" spans="1:2" ht="30" customHeight="1" x14ac:dyDescent="0.25">
      <c r="A41" s="87" t="s">
        <v>2129</v>
      </c>
      <c r="B41" s="88" t="s">
        <v>2130</v>
      </c>
    </row>
    <row r="42" spans="1:2" ht="30" customHeight="1" x14ac:dyDescent="0.25">
      <c r="A42" s="89" t="s">
        <v>2131</v>
      </c>
      <c r="B42" s="90" t="s">
        <v>2132</v>
      </c>
    </row>
    <row r="43" spans="1:2" ht="30" customHeight="1" x14ac:dyDescent="0.25">
      <c r="A43" s="87" t="s">
        <v>2133</v>
      </c>
      <c r="B43" s="88" t="s">
        <v>2134</v>
      </c>
    </row>
    <row r="44" spans="1:2" ht="30" customHeight="1" x14ac:dyDescent="0.25">
      <c r="A44" s="89" t="s">
        <v>2135</v>
      </c>
      <c r="B44" s="90" t="s">
        <v>2136</v>
      </c>
    </row>
    <row r="45" spans="1:2" ht="30" customHeight="1" x14ac:dyDescent="0.25">
      <c r="A45" s="87" t="s">
        <v>2137</v>
      </c>
      <c r="B45" s="88" t="s">
        <v>2138</v>
      </c>
    </row>
    <row r="46" spans="1:2" ht="30" customHeight="1" x14ac:dyDescent="0.25">
      <c r="A46" s="89" t="s">
        <v>2139</v>
      </c>
      <c r="B46" s="90" t="s">
        <v>2140</v>
      </c>
    </row>
    <row r="47" spans="1:2" ht="30" customHeight="1" x14ac:dyDescent="0.25">
      <c r="A47" s="87" t="s">
        <v>2141</v>
      </c>
      <c r="B47" s="88" t="s">
        <v>1918</v>
      </c>
    </row>
    <row r="48" spans="1:2" ht="30" customHeight="1" x14ac:dyDescent="0.25">
      <c r="A48" s="89" t="s">
        <v>2142</v>
      </c>
      <c r="B48" s="90" t="s">
        <v>1925</v>
      </c>
    </row>
    <row r="49" spans="1:2" ht="30" customHeight="1" x14ac:dyDescent="0.25">
      <c r="A49" s="87" t="s">
        <v>2143</v>
      </c>
      <c r="B49" s="88" t="s">
        <v>1850</v>
      </c>
    </row>
    <row r="50" spans="1:2" ht="30" customHeight="1" x14ac:dyDescent="0.25">
      <c r="A50" s="89" t="s">
        <v>2144</v>
      </c>
      <c r="B50" s="90" t="s">
        <v>2145</v>
      </c>
    </row>
    <row r="51" spans="1:2" ht="30" customHeight="1" x14ac:dyDescent="0.25">
      <c r="A51" s="87" t="s">
        <v>1854</v>
      </c>
      <c r="B51" s="88" t="s">
        <v>2146</v>
      </c>
    </row>
    <row r="52" spans="1:2" ht="30" customHeight="1" x14ac:dyDescent="0.25">
      <c r="A52" s="89" t="s">
        <v>2147</v>
      </c>
      <c r="B52" s="90" t="s">
        <v>2148</v>
      </c>
    </row>
    <row r="53" spans="1:2" ht="30" customHeight="1" x14ac:dyDescent="0.25">
      <c r="A53" s="87" t="s">
        <v>2149</v>
      </c>
      <c r="B53" s="88" t="s">
        <v>2150</v>
      </c>
    </row>
    <row r="54" spans="1:2" ht="30" customHeight="1" x14ac:dyDescent="0.25">
      <c r="A54" s="89" t="s">
        <v>2151</v>
      </c>
      <c r="B54" s="90" t="s">
        <v>2152</v>
      </c>
    </row>
    <row r="55" spans="1:2" ht="30" customHeight="1" x14ac:dyDescent="0.25">
      <c r="A55" s="87" t="s">
        <v>1885</v>
      </c>
      <c r="B55" s="88" t="s">
        <v>1111</v>
      </c>
    </row>
    <row r="56" spans="1:2" ht="30" customHeight="1" x14ac:dyDescent="0.25">
      <c r="A56" s="89" t="s">
        <v>2153</v>
      </c>
      <c r="B56" s="90" t="s">
        <v>2154</v>
      </c>
    </row>
    <row r="57" spans="1:2" ht="30" customHeight="1" x14ac:dyDescent="0.25">
      <c r="A57" s="87" t="s">
        <v>2155</v>
      </c>
      <c r="B57" s="88" t="s">
        <v>2156</v>
      </c>
    </row>
    <row r="58" spans="1:2" ht="30" customHeight="1" x14ac:dyDescent="0.25">
      <c r="A58" s="89" t="s">
        <v>2157</v>
      </c>
      <c r="B58" s="90" t="s">
        <v>2158</v>
      </c>
    </row>
    <row r="59" spans="1:2" ht="30" customHeight="1" x14ac:dyDescent="0.25">
      <c r="A59" s="87" t="s">
        <v>2159</v>
      </c>
      <c r="B59" s="88" t="s">
        <v>2160</v>
      </c>
    </row>
    <row r="60" spans="1:2" ht="30" customHeight="1" x14ac:dyDescent="0.25">
      <c r="A60" s="89" t="s">
        <v>2161</v>
      </c>
      <c r="B60" s="90" t="s">
        <v>986</v>
      </c>
    </row>
    <row r="61" spans="1:2" ht="30" customHeight="1" x14ac:dyDescent="0.25">
      <c r="A61" s="87" t="s">
        <v>2162</v>
      </c>
      <c r="B61" s="88" t="s">
        <v>619</v>
      </c>
    </row>
    <row r="62" spans="1:2" ht="30" customHeight="1" x14ac:dyDescent="0.25">
      <c r="A62" s="89" t="s">
        <v>2068</v>
      </c>
      <c r="B62" s="90" t="s">
        <v>2067</v>
      </c>
    </row>
    <row r="63" spans="1:2" ht="30" customHeight="1" x14ac:dyDescent="0.25">
      <c r="A63" s="87" t="s">
        <v>2163</v>
      </c>
      <c r="B63" s="88" t="s">
        <v>2164</v>
      </c>
    </row>
    <row r="64" spans="1:2" ht="30" customHeight="1" x14ac:dyDescent="0.25">
      <c r="A64" s="89" t="s">
        <v>2165</v>
      </c>
      <c r="B64" s="90" t="s">
        <v>2166</v>
      </c>
    </row>
    <row r="65" spans="1:2" ht="30" customHeight="1" x14ac:dyDescent="0.25">
      <c r="A65" s="87" t="s">
        <v>2167</v>
      </c>
      <c r="B65" s="88" t="s">
        <v>2168</v>
      </c>
    </row>
    <row r="67" spans="1:2" ht="30" customHeight="1" x14ac:dyDescent="0.25">
      <c r="A67" s="128" t="s">
        <v>2169</v>
      </c>
      <c r="B67" s="128"/>
    </row>
    <row r="68" spans="1:2" ht="30" customHeight="1" x14ac:dyDescent="0.25">
      <c r="A68" s="93" t="s">
        <v>1204</v>
      </c>
      <c r="B68" s="94" t="s">
        <v>2170</v>
      </c>
    </row>
    <row r="69" spans="1:2" ht="30" customHeight="1" x14ac:dyDescent="0.25">
      <c r="A69" s="89" t="s">
        <v>1208</v>
      </c>
      <c r="B69" s="90" t="s">
        <v>2171</v>
      </c>
    </row>
    <row r="70" spans="1:2" ht="30" customHeight="1" x14ac:dyDescent="0.25">
      <c r="A70" s="93" t="s">
        <v>2172</v>
      </c>
      <c r="B70" s="94" t="s">
        <v>2173</v>
      </c>
    </row>
    <row r="71" spans="1:2" ht="30" customHeight="1" x14ac:dyDescent="0.25">
      <c r="A71" s="89" t="s">
        <v>2174</v>
      </c>
      <c r="B71" s="90" t="s">
        <v>2175</v>
      </c>
    </row>
    <row r="72" spans="1:2" ht="30" customHeight="1" x14ac:dyDescent="0.25">
      <c r="A72" s="93" t="s">
        <v>2176</v>
      </c>
      <c r="B72" s="94" t="s">
        <v>2175</v>
      </c>
    </row>
    <row r="73" spans="1:2" ht="30" customHeight="1" x14ac:dyDescent="0.25">
      <c r="A73" s="89" t="s">
        <v>2177</v>
      </c>
      <c r="B73" s="90" t="s">
        <v>2178</v>
      </c>
    </row>
    <row r="74" spans="1:2" ht="30" customHeight="1" x14ac:dyDescent="0.25">
      <c r="A74" s="93" t="s">
        <v>2179</v>
      </c>
      <c r="B74" s="94" t="s">
        <v>2180</v>
      </c>
    </row>
    <row r="75" spans="1:2" ht="30" customHeight="1" x14ac:dyDescent="0.25">
      <c r="A75" s="89" t="s">
        <v>1868</v>
      </c>
      <c r="B75" s="90" t="s">
        <v>2181</v>
      </c>
    </row>
    <row r="76" spans="1:2" ht="30" customHeight="1" x14ac:dyDescent="0.25">
      <c r="A76" s="93" t="s">
        <v>2182</v>
      </c>
      <c r="B76" s="94" t="s">
        <v>2183</v>
      </c>
    </row>
    <row r="77" spans="1:2" ht="30" customHeight="1" x14ac:dyDescent="0.25">
      <c r="A77" s="89" t="s">
        <v>2184</v>
      </c>
      <c r="B77" s="90" t="s">
        <v>2185</v>
      </c>
    </row>
    <row r="78" spans="1:2" ht="30" customHeight="1" x14ac:dyDescent="0.25">
      <c r="A78" s="93" t="s">
        <v>221</v>
      </c>
      <c r="B78" s="94" t="s">
        <v>2186</v>
      </c>
    </row>
    <row r="79" spans="1:2" ht="30" customHeight="1" x14ac:dyDescent="0.25">
      <c r="A79" s="89" t="s">
        <v>2187</v>
      </c>
      <c r="B79" s="90" t="s">
        <v>2188</v>
      </c>
    </row>
    <row r="80" spans="1:2" ht="30" customHeight="1" x14ac:dyDescent="0.25">
      <c r="A80" s="93" t="s">
        <v>2189</v>
      </c>
      <c r="B80" s="94" t="s">
        <v>2190</v>
      </c>
    </row>
    <row r="81" spans="1:2" ht="30" customHeight="1" x14ac:dyDescent="0.25">
      <c r="A81" s="89" t="s">
        <v>302</v>
      </c>
      <c r="B81" s="90" t="s">
        <v>2191</v>
      </c>
    </row>
    <row r="82" spans="1:2" ht="30" customHeight="1" x14ac:dyDescent="0.25">
      <c r="A82" s="93" t="s">
        <v>2192</v>
      </c>
      <c r="B82" s="94" t="s">
        <v>2193</v>
      </c>
    </row>
    <row r="83" spans="1:2" ht="30" customHeight="1" x14ac:dyDescent="0.25">
      <c r="A83" s="89" t="s">
        <v>451</v>
      </c>
      <c r="B83" s="90" t="s">
        <v>2194</v>
      </c>
    </row>
    <row r="84" spans="1:2" ht="30" customHeight="1" x14ac:dyDescent="0.25">
      <c r="A84" s="93" t="s">
        <v>263</v>
      </c>
      <c r="B84" s="94" t="s">
        <v>2195</v>
      </c>
    </row>
    <row r="85" spans="1:2" ht="30" customHeight="1" x14ac:dyDescent="0.25">
      <c r="A85" s="89" t="s">
        <v>286</v>
      </c>
      <c r="B85" s="90" t="s">
        <v>2196</v>
      </c>
    </row>
    <row r="86" spans="1:2" ht="30" customHeight="1" x14ac:dyDescent="0.25">
      <c r="A86" s="93" t="s">
        <v>2197</v>
      </c>
      <c r="B86" s="94" t="s">
        <v>2198</v>
      </c>
    </row>
    <row r="87" spans="1:2" ht="30" customHeight="1" x14ac:dyDescent="0.25">
      <c r="A87" s="89" t="s">
        <v>2199</v>
      </c>
      <c r="B87" s="90" t="s">
        <v>2200</v>
      </c>
    </row>
    <row r="88" spans="1:2" ht="30" customHeight="1" x14ac:dyDescent="0.25">
      <c r="A88" s="93" t="s">
        <v>2201</v>
      </c>
      <c r="B88" s="94" t="s">
        <v>2202</v>
      </c>
    </row>
    <row r="89" spans="1:2" ht="30" customHeight="1" x14ac:dyDescent="0.25">
      <c r="A89" s="89" t="s">
        <v>2203</v>
      </c>
      <c r="B89" s="90" t="s">
        <v>2204</v>
      </c>
    </row>
    <row r="90" spans="1:2" ht="30" customHeight="1" x14ac:dyDescent="0.25">
      <c r="A90" s="93" t="s">
        <v>2205</v>
      </c>
      <c r="B90" s="94" t="s">
        <v>2206</v>
      </c>
    </row>
    <row r="91" spans="1:2" ht="30" customHeight="1" x14ac:dyDescent="0.25">
      <c r="A91" s="89" t="s">
        <v>2207</v>
      </c>
      <c r="B91" s="90" t="s">
        <v>2208</v>
      </c>
    </row>
    <row r="92" spans="1:2" ht="30" customHeight="1" x14ac:dyDescent="0.25">
      <c r="A92" s="93" t="s">
        <v>2209</v>
      </c>
      <c r="B92" s="94" t="s">
        <v>2210</v>
      </c>
    </row>
    <row r="93" spans="1:2" ht="30" customHeight="1" x14ac:dyDescent="0.25">
      <c r="A93" s="89" t="s">
        <v>2211</v>
      </c>
      <c r="B93" s="90" t="s">
        <v>2212</v>
      </c>
    </row>
    <row r="95" spans="1:2" ht="30" customHeight="1" x14ac:dyDescent="0.25">
      <c r="A95" s="129" t="s">
        <v>2213</v>
      </c>
      <c r="B95" s="129"/>
    </row>
    <row r="96" spans="1:2" ht="30" customHeight="1" x14ac:dyDescent="0.25">
      <c r="A96" s="87" t="s">
        <v>2214</v>
      </c>
      <c r="B96" s="88" t="s">
        <v>2215</v>
      </c>
    </row>
    <row r="97" spans="1:2" ht="30" customHeight="1" x14ac:dyDescent="0.25">
      <c r="A97" s="89" t="s">
        <v>2216</v>
      </c>
      <c r="B97" s="90" t="s">
        <v>2217</v>
      </c>
    </row>
    <row r="98" spans="1:2" ht="30" customHeight="1" x14ac:dyDescent="0.25">
      <c r="A98" s="87" t="s">
        <v>2218</v>
      </c>
      <c r="B98" s="88" t="s">
        <v>2219</v>
      </c>
    </row>
    <row r="99" spans="1:2" ht="30" customHeight="1" x14ac:dyDescent="0.25">
      <c r="A99" s="89" t="s">
        <v>2197</v>
      </c>
      <c r="B99" s="90" t="s">
        <v>2220</v>
      </c>
    </row>
    <row r="100" spans="1:2" ht="30" customHeight="1" x14ac:dyDescent="0.25">
      <c r="A100" s="87" t="s">
        <v>2221</v>
      </c>
      <c r="B100" s="88" t="s">
        <v>2222</v>
      </c>
    </row>
    <row r="101" spans="1:2" ht="30" customHeight="1" x14ac:dyDescent="0.25">
      <c r="A101" s="89" t="s">
        <v>2223</v>
      </c>
      <c r="B101" s="90" t="s">
        <v>2224</v>
      </c>
    </row>
    <row r="102" spans="1:2" ht="30" customHeight="1" x14ac:dyDescent="0.25">
      <c r="A102" s="87" t="s">
        <v>2225</v>
      </c>
      <c r="B102" s="88" t="s">
        <v>2226</v>
      </c>
    </row>
    <row r="103" spans="1:2" ht="30" customHeight="1" x14ac:dyDescent="0.25">
      <c r="A103" s="89" t="s">
        <v>2227</v>
      </c>
      <c r="B103" s="90" t="s">
        <v>2228</v>
      </c>
    </row>
    <row r="104" spans="1:2" ht="30" customHeight="1" x14ac:dyDescent="0.25">
      <c r="A104" s="87" t="s">
        <v>2229</v>
      </c>
      <c r="B104" s="88" t="s">
        <v>2230</v>
      </c>
    </row>
    <row r="105" spans="1:2" ht="30" customHeight="1" x14ac:dyDescent="0.25">
      <c r="A105" s="89" t="s">
        <v>2231</v>
      </c>
      <c r="B105" s="90" t="s">
        <v>2232</v>
      </c>
    </row>
    <row r="106" spans="1:2" ht="30" customHeight="1" x14ac:dyDescent="0.25">
      <c r="A106" s="87" t="s">
        <v>2233</v>
      </c>
      <c r="B106" s="88" t="s">
        <v>2234</v>
      </c>
    </row>
    <row r="107" spans="1:2" ht="30" customHeight="1" x14ac:dyDescent="0.25">
      <c r="A107" s="89" t="s">
        <v>2235</v>
      </c>
      <c r="B107" s="90" t="s">
        <v>2236</v>
      </c>
    </row>
    <row r="108" spans="1:2" ht="30" customHeight="1" x14ac:dyDescent="0.25">
      <c r="A108" s="87" t="s">
        <v>2237</v>
      </c>
      <c r="B108" s="88" t="s">
        <v>2238</v>
      </c>
    </row>
    <row r="109" spans="1:2" ht="30" customHeight="1" x14ac:dyDescent="0.25">
      <c r="A109" s="89" t="s">
        <v>2239</v>
      </c>
      <c r="B109" s="90" t="s">
        <v>2240</v>
      </c>
    </row>
    <row r="110" spans="1:2" ht="30" customHeight="1" x14ac:dyDescent="0.25">
      <c r="A110" s="87" t="s">
        <v>2241</v>
      </c>
      <c r="B110" s="88" t="s">
        <v>2242</v>
      </c>
    </row>
    <row r="111" spans="1:2" ht="30" customHeight="1" x14ac:dyDescent="0.25">
      <c r="A111" s="89" t="s">
        <v>2243</v>
      </c>
      <c r="B111" s="90" t="s">
        <v>2244</v>
      </c>
    </row>
    <row r="112" spans="1:2" ht="30" customHeight="1" x14ac:dyDescent="0.25">
      <c r="A112" s="87" t="s">
        <v>2245</v>
      </c>
      <c r="B112" s="88" t="s">
        <v>2246</v>
      </c>
    </row>
    <row r="113" spans="1:2" ht="30" customHeight="1" x14ac:dyDescent="0.25">
      <c r="A113" s="89" t="s">
        <v>443</v>
      </c>
      <c r="B113" s="90" t="s">
        <v>2247</v>
      </c>
    </row>
    <row r="114" spans="1:2" ht="30" customHeight="1" x14ac:dyDescent="0.25">
      <c r="A114" s="87" t="s">
        <v>2248</v>
      </c>
      <c r="B114" s="88" t="s">
        <v>2249</v>
      </c>
    </row>
    <row r="115" spans="1:2" ht="30" customHeight="1" x14ac:dyDescent="0.25">
      <c r="A115" s="89" t="s">
        <v>356</v>
      </c>
      <c r="B115" s="90" t="s">
        <v>2250</v>
      </c>
    </row>
    <row r="117" spans="1:2" ht="30" customHeight="1" x14ac:dyDescent="0.25">
      <c r="A117" s="130" t="s">
        <v>2251</v>
      </c>
      <c r="B117" s="130"/>
    </row>
    <row r="118" spans="1:2" ht="30" customHeight="1" x14ac:dyDescent="0.25">
      <c r="A118" s="95" t="s">
        <v>2252</v>
      </c>
      <c r="B118" s="96" t="s">
        <v>2253</v>
      </c>
    </row>
    <row r="119" spans="1:2" ht="30" customHeight="1" x14ac:dyDescent="0.25">
      <c r="A119" s="89" t="s">
        <v>2254</v>
      </c>
      <c r="B119" s="90" t="s">
        <v>2255</v>
      </c>
    </row>
    <row r="120" spans="1:2" ht="30" customHeight="1" x14ac:dyDescent="0.25">
      <c r="A120" s="95" t="s">
        <v>2256</v>
      </c>
      <c r="B120" s="96" t="s">
        <v>2257</v>
      </c>
    </row>
    <row r="121" spans="1:2" ht="30" customHeight="1" x14ac:dyDescent="0.25">
      <c r="A121" s="89" t="s">
        <v>2258</v>
      </c>
      <c r="B121" s="90" t="s">
        <v>2259</v>
      </c>
    </row>
    <row r="122" spans="1:2" ht="30" customHeight="1" x14ac:dyDescent="0.25">
      <c r="A122" s="95" t="s">
        <v>2260</v>
      </c>
      <c r="B122" s="96" t="s">
        <v>2261</v>
      </c>
    </row>
    <row r="123" spans="1:2" ht="30" customHeight="1" x14ac:dyDescent="0.25">
      <c r="A123" s="89" t="s">
        <v>2262</v>
      </c>
      <c r="B123" s="90" t="s">
        <v>2263</v>
      </c>
    </row>
    <row r="124" spans="1:2" ht="30" customHeight="1" x14ac:dyDescent="0.25">
      <c r="A124" s="95" t="s">
        <v>2264</v>
      </c>
      <c r="B124" s="96" t="s">
        <v>2265</v>
      </c>
    </row>
    <row r="125" spans="1:2" ht="30" customHeight="1" x14ac:dyDescent="0.25">
      <c r="A125" s="89" t="s">
        <v>2266</v>
      </c>
      <c r="B125" s="90" t="s">
        <v>2267</v>
      </c>
    </row>
    <row r="126" spans="1:2" ht="30" customHeight="1" x14ac:dyDescent="0.25">
      <c r="A126" s="95" t="s">
        <v>2268</v>
      </c>
      <c r="B126" s="96" t="s">
        <v>2269</v>
      </c>
    </row>
    <row r="127" spans="1:2" ht="30" customHeight="1" x14ac:dyDescent="0.25">
      <c r="A127" s="89" t="s">
        <v>2270</v>
      </c>
      <c r="B127" s="90" t="s">
        <v>2271</v>
      </c>
    </row>
  </sheetData>
  <mergeCells count="9">
    <mergeCell ref="A38:B38"/>
    <mergeCell ref="A67:B67"/>
    <mergeCell ref="A95:B95"/>
    <mergeCell ref="A117:B117"/>
    <mergeCell ref="A1:B1"/>
    <mergeCell ref="A2:B2"/>
    <mergeCell ref="A4:B4"/>
    <mergeCell ref="A7:B7"/>
    <mergeCell ref="A20:B20"/>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7"/>
  <sheetViews>
    <sheetView zoomScaleNormal="100" workbookViewId="0">
      <pane ySplit="1" topLeftCell="A13" activePane="bottomLeft" state="frozen"/>
      <selection pane="bottomLeft" activeCell="A2" sqref="A2:A17"/>
    </sheetView>
  </sheetViews>
  <sheetFormatPr defaultColWidth="8.7109375" defaultRowHeight="15" x14ac:dyDescent="0.25"/>
  <cols>
    <col min="1" max="1" width="30" customWidth="1"/>
    <col min="2" max="2" width="40" customWidth="1"/>
    <col min="3" max="3" width="30" customWidth="1"/>
    <col min="4" max="4" width="25" customWidth="1"/>
    <col min="5" max="6" width="18" customWidth="1"/>
    <col min="7" max="7" width="20" customWidth="1"/>
    <col min="8" max="8" width="25" customWidth="1"/>
    <col min="9" max="9" width="18" customWidth="1"/>
    <col min="10" max="10" width="45" customWidth="1"/>
  </cols>
  <sheetData>
    <row r="1" spans="1:10" ht="39.75" customHeight="1" x14ac:dyDescent="0.25">
      <c r="A1" s="3" t="s">
        <v>2272</v>
      </c>
      <c r="B1" s="3" t="s">
        <v>2273</v>
      </c>
      <c r="C1" s="3" t="s">
        <v>2274</v>
      </c>
      <c r="D1" s="3" t="s">
        <v>2275</v>
      </c>
      <c r="E1" s="3" t="s">
        <v>2276</v>
      </c>
      <c r="F1" s="3" t="s">
        <v>2277</v>
      </c>
      <c r="G1" s="3" t="s">
        <v>2278</v>
      </c>
      <c r="H1" s="3" t="s">
        <v>2279</v>
      </c>
      <c r="I1" s="3" t="s">
        <v>2280</v>
      </c>
      <c r="J1" s="3" t="s">
        <v>2281</v>
      </c>
    </row>
    <row r="2" spans="1:10" ht="39.75" customHeight="1" x14ac:dyDescent="0.25">
      <c r="A2" s="97" t="s">
        <v>580</v>
      </c>
      <c r="B2" s="98" t="s">
        <v>2282</v>
      </c>
      <c r="C2" s="98" t="s">
        <v>2283</v>
      </c>
      <c r="D2" s="98" t="s">
        <v>2284</v>
      </c>
      <c r="E2" s="98"/>
      <c r="F2" s="99">
        <f ca="1">DATE(YEAR(TODAY()),MONTH(TODAY())+1,1)</f>
        <v>46174</v>
      </c>
      <c r="G2" s="98" t="s">
        <v>2285</v>
      </c>
      <c r="H2" s="98" t="s">
        <v>2286</v>
      </c>
      <c r="I2" s="98" t="s">
        <v>2287</v>
      </c>
      <c r="J2" s="98" t="s">
        <v>2288</v>
      </c>
    </row>
    <row r="3" spans="1:10" ht="39.75" customHeight="1" x14ac:dyDescent="0.25">
      <c r="A3" s="100" t="s">
        <v>1751</v>
      </c>
      <c r="B3" s="101" t="s">
        <v>2289</v>
      </c>
      <c r="C3" s="101" t="s">
        <v>2290</v>
      </c>
      <c r="D3" s="101" t="s">
        <v>2291</v>
      </c>
      <c r="E3" s="101"/>
      <c r="F3" s="102">
        <f ca="1">DATE(YEAR(TODAY()),MONTH(TODAY()),15)</f>
        <v>46157</v>
      </c>
      <c r="G3" s="101" t="s">
        <v>2292</v>
      </c>
      <c r="H3" s="101" t="s">
        <v>2293</v>
      </c>
      <c r="I3" s="101" t="s">
        <v>2287</v>
      </c>
      <c r="J3" s="101" t="s">
        <v>2294</v>
      </c>
    </row>
    <row r="4" spans="1:10" ht="39.75" customHeight="1" x14ac:dyDescent="0.25">
      <c r="A4" s="97" t="s">
        <v>1759</v>
      </c>
      <c r="B4" s="98" t="s">
        <v>2295</v>
      </c>
      <c r="C4" s="98" t="s">
        <v>2296</v>
      </c>
      <c r="D4" s="98" t="s">
        <v>2291</v>
      </c>
      <c r="E4" s="98"/>
      <c r="F4" s="99">
        <f ca="1">DATE(YEAR(TODAY()),MONTH(TODAY()),21)</f>
        <v>46163</v>
      </c>
      <c r="G4" s="98" t="s">
        <v>2297</v>
      </c>
      <c r="H4" s="98" t="s">
        <v>2298</v>
      </c>
      <c r="I4" s="98" t="s">
        <v>2287</v>
      </c>
      <c r="J4" s="98" t="s">
        <v>2299</v>
      </c>
    </row>
    <row r="5" spans="1:10" ht="39.75" customHeight="1" x14ac:dyDescent="0.25">
      <c r="A5" s="100" t="s">
        <v>1815</v>
      </c>
      <c r="B5" s="101" t="s">
        <v>2300</v>
      </c>
      <c r="C5" s="101" t="s">
        <v>2301</v>
      </c>
      <c r="D5" s="101" t="s">
        <v>2302</v>
      </c>
      <c r="E5" s="101"/>
      <c r="F5" s="102">
        <f ca="1">DATE(YEAR(TODAY()),MONTH(TODAY()),10)</f>
        <v>46152</v>
      </c>
      <c r="G5" s="101" t="s">
        <v>2303</v>
      </c>
      <c r="H5" s="101" t="s">
        <v>2304</v>
      </c>
      <c r="I5" s="101" t="s">
        <v>2287</v>
      </c>
      <c r="J5" s="101" t="s">
        <v>2305</v>
      </c>
    </row>
    <row r="6" spans="1:10" ht="39.75" customHeight="1" x14ac:dyDescent="0.25">
      <c r="A6" s="97" t="s">
        <v>701</v>
      </c>
      <c r="B6" s="98" t="s">
        <v>2306</v>
      </c>
      <c r="C6" s="98" t="s">
        <v>2307</v>
      </c>
      <c r="D6" s="98" t="s">
        <v>2308</v>
      </c>
      <c r="E6" s="98"/>
      <c r="F6" s="99">
        <f ca="1">DATE(YEAR(TODAY()),MONTH(TODAY())+1,1)</f>
        <v>46174</v>
      </c>
      <c r="G6" s="98" t="s">
        <v>2309</v>
      </c>
      <c r="H6" s="98" t="s">
        <v>2310</v>
      </c>
      <c r="I6" s="98" t="s">
        <v>2287</v>
      </c>
      <c r="J6" s="98" t="s">
        <v>2311</v>
      </c>
    </row>
    <row r="7" spans="1:10" ht="39.75" customHeight="1" x14ac:dyDescent="0.25">
      <c r="A7" s="100" t="s">
        <v>1111</v>
      </c>
      <c r="B7" s="101" t="s">
        <v>2312</v>
      </c>
      <c r="C7" s="101" t="s">
        <v>2313</v>
      </c>
      <c r="D7" s="101" t="s">
        <v>2314</v>
      </c>
      <c r="E7" s="101"/>
      <c r="F7" s="102">
        <f ca="1">DATE(YEAR(TODAY()),11,30)</f>
        <v>46356</v>
      </c>
      <c r="G7" s="101" t="s">
        <v>1783</v>
      </c>
      <c r="H7" s="101" t="s">
        <v>2315</v>
      </c>
      <c r="I7" s="101" t="s">
        <v>2287</v>
      </c>
      <c r="J7" s="101" t="s">
        <v>2316</v>
      </c>
    </row>
    <row r="8" spans="1:10" ht="39.75" customHeight="1" x14ac:dyDescent="0.25">
      <c r="A8" s="97" t="s">
        <v>634</v>
      </c>
      <c r="B8" s="98" t="s">
        <v>2317</v>
      </c>
      <c r="C8" s="98" t="s">
        <v>2318</v>
      </c>
      <c r="D8" s="98" t="s">
        <v>2319</v>
      </c>
      <c r="E8" s="98"/>
      <c r="F8" s="98" t="s">
        <v>2320</v>
      </c>
      <c r="G8" s="98" t="s">
        <v>1896</v>
      </c>
      <c r="H8" s="98" t="s">
        <v>2321</v>
      </c>
      <c r="I8" s="98" t="s">
        <v>2287</v>
      </c>
      <c r="J8" s="98" t="s">
        <v>2322</v>
      </c>
    </row>
    <row r="9" spans="1:10" ht="39.75" customHeight="1" x14ac:dyDescent="0.25">
      <c r="A9" s="100" t="s">
        <v>2323</v>
      </c>
      <c r="B9" s="101" t="s">
        <v>2324</v>
      </c>
      <c r="C9" s="101" t="s">
        <v>2325</v>
      </c>
      <c r="D9" s="101" t="s">
        <v>1630</v>
      </c>
      <c r="E9" s="101"/>
      <c r="F9" s="102">
        <f ca="1">DATE(YEAR(TODAY()),MONTH(TODAY())+1,1)</f>
        <v>46174</v>
      </c>
      <c r="G9" s="101" t="s">
        <v>2326</v>
      </c>
      <c r="H9" s="101" t="s">
        <v>2327</v>
      </c>
      <c r="I9" s="101" t="s">
        <v>2287</v>
      </c>
      <c r="J9" s="101" t="s">
        <v>2328</v>
      </c>
    </row>
    <row r="10" spans="1:10" ht="39.75" customHeight="1" x14ac:dyDescent="0.25">
      <c r="A10" s="97" t="s">
        <v>986</v>
      </c>
      <c r="B10" s="98" t="s">
        <v>2329</v>
      </c>
      <c r="C10" s="98" t="s">
        <v>2330</v>
      </c>
      <c r="D10" s="98" t="s">
        <v>670</v>
      </c>
      <c r="E10" s="98"/>
      <c r="F10" s="98" t="s">
        <v>2331</v>
      </c>
      <c r="G10" s="98" t="s">
        <v>2332</v>
      </c>
      <c r="H10" s="98" t="s">
        <v>2333</v>
      </c>
      <c r="I10" s="98" t="s">
        <v>2287</v>
      </c>
      <c r="J10" s="98" t="s">
        <v>2334</v>
      </c>
    </row>
    <row r="11" spans="1:10" ht="39.75" customHeight="1" x14ac:dyDescent="0.25">
      <c r="A11" s="100" t="s">
        <v>619</v>
      </c>
      <c r="B11" s="101" t="s">
        <v>2335</v>
      </c>
      <c r="C11" s="101" t="s">
        <v>2336</v>
      </c>
      <c r="D11" s="101" t="s">
        <v>2337</v>
      </c>
      <c r="E11" s="101"/>
      <c r="F11" s="102">
        <f ca="1">DATE(YEAR(TODAY()),MONTH(TODAY()),15)</f>
        <v>46157</v>
      </c>
      <c r="G11" s="101" t="s">
        <v>2338</v>
      </c>
      <c r="H11" s="101" t="s">
        <v>2339</v>
      </c>
      <c r="I11" s="101" t="s">
        <v>2287</v>
      </c>
      <c r="J11" s="101" t="s">
        <v>2340</v>
      </c>
    </row>
    <row r="12" spans="1:10" ht="39.75" customHeight="1" x14ac:dyDescent="0.25">
      <c r="A12" s="97" t="s">
        <v>2341</v>
      </c>
      <c r="B12" s="98" t="s">
        <v>2342</v>
      </c>
      <c r="C12" s="98" t="s">
        <v>2343</v>
      </c>
      <c r="D12" s="98" t="s">
        <v>2344</v>
      </c>
      <c r="E12" s="98"/>
      <c r="F12" s="98" t="s">
        <v>1890</v>
      </c>
      <c r="G12" s="98" t="s">
        <v>2345</v>
      </c>
      <c r="H12" s="98" t="s">
        <v>2346</v>
      </c>
      <c r="I12" s="98" t="s">
        <v>2287</v>
      </c>
      <c r="J12" s="98" t="s">
        <v>2347</v>
      </c>
    </row>
    <row r="13" spans="1:10" ht="39.75" customHeight="1" x14ac:dyDescent="0.25">
      <c r="A13" s="100" t="s">
        <v>2348</v>
      </c>
      <c r="B13" s="101" t="s">
        <v>2349</v>
      </c>
      <c r="C13" s="101" t="s">
        <v>2350</v>
      </c>
      <c r="D13" s="101" t="s">
        <v>2314</v>
      </c>
      <c r="E13" s="101"/>
      <c r="F13" s="102">
        <f ca="1">DATE(YEAR(TODAY()),6,30)</f>
        <v>46203</v>
      </c>
      <c r="G13" s="101" t="s">
        <v>1937</v>
      </c>
      <c r="H13" s="101" t="s">
        <v>2351</v>
      </c>
      <c r="I13" s="101" t="s">
        <v>2287</v>
      </c>
      <c r="J13" s="101" t="s">
        <v>2352</v>
      </c>
    </row>
    <row r="14" spans="1:10" ht="39.75" customHeight="1" x14ac:dyDescent="0.25">
      <c r="A14" s="97" t="s">
        <v>2353</v>
      </c>
      <c r="B14" s="98" t="s">
        <v>2354</v>
      </c>
      <c r="C14" s="98" t="s">
        <v>2355</v>
      </c>
      <c r="D14" s="98" t="s">
        <v>2314</v>
      </c>
      <c r="E14" s="98"/>
      <c r="F14" s="99">
        <f ca="1">DATE(YEAR(TODAY()),MONTH(TODAY()),10)</f>
        <v>46152</v>
      </c>
      <c r="G14" s="98" t="s">
        <v>1944</v>
      </c>
      <c r="H14" s="98" t="s">
        <v>2356</v>
      </c>
      <c r="I14" s="98" t="s">
        <v>2287</v>
      </c>
      <c r="J14" s="98" t="s">
        <v>2357</v>
      </c>
    </row>
    <row r="15" spans="1:10" ht="39.75" customHeight="1" x14ac:dyDescent="0.25">
      <c r="A15" s="100" t="s">
        <v>2358</v>
      </c>
      <c r="B15" s="101" t="s">
        <v>2359</v>
      </c>
      <c r="C15" s="101" t="s">
        <v>2360</v>
      </c>
      <c r="D15" s="101" t="s">
        <v>554</v>
      </c>
      <c r="E15" s="101"/>
      <c r="F15" s="101" t="s">
        <v>2361</v>
      </c>
      <c r="G15" s="101" t="s">
        <v>1783</v>
      </c>
      <c r="H15" s="101" t="s">
        <v>2362</v>
      </c>
      <c r="I15" s="101" t="s">
        <v>2287</v>
      </c>
      <c r="J15" s="101" t="s">
        <v>2363</v>
      </c>
    </row>
    <row r="16" spans="1:10" ht="39.75" customHeight="1" x14ac:dyDescent="0.25">
      <c r="A16" s="97" t="s">
        <v>2364</v>
      </c>
      <c r="B16" s="98" t="s">
        <v>2365</v>
      </c>
      <c r="C16" s="98" t="s">
        <v>2366</v>
      </c>
      <c r="D16" s="98" t="s">
        <v>1630</v>
      </c>
      <c r="E16" s="98"/>
      <c r="F16" s="99">
        <f ca="1">DATE(YEAR(TODAY()),MONTH(TODAY())+1,1)</f>
        <v>46174</v>
      </c>
      <c r="G16" s="98" t="s">
        <v>2367</v>
      </c>
      <c r="H16" s="98" t="s">
        <v>2368</v>
      </c>
      <c r="I16" s="98" t="s">
        <v>2287</v>
      </c>
      <c r="J16" s="98" t="s">
        <v>2369</v>
      </c>
    </row>
    <row r="17" spans="1:10" ht="39.75" customHeight="1" x14ac:dyDescent="0.25">
      <c r="A17" s="100" t="s">
        <v>2370</v>
      </c>
      <c r="B17" s="101" t="s">
        <v>2371</v>
      </c>
      <c r="C17" s="101" t="s">
        <v>2372</v>
      </c>
      <c r="D17" s="101" t="s">
        <v>2373</v>
      </c>
      <c r="E17" s="101"/>
      <c r="F17" s="102">
        <f ca="1">DATE(YEAR(TODAY()),MONTH(TODAY()),7)</f>
        <v>46149</v>
      </c>
      <c r="G17" s="101" t="s">
        <v>2374</v>
      </c>
      <c r="H17" s="101" t="s">
        <v>2375</v>
      </c>
      <c r="I17" s="101" t="s">
        <v>2287</v>
      </c>
      <c r="J17" s="101" t="s">
        <v>2376</v>
      </c>
    </row>
  </sheetData>
  <autoFilter ref="A1:J1" xr:uid="{00000000-0009-0000-0000-000004000000}"/>
  <conditionalFormatting sqref="I2:I17">
    <cfRule type="expression" dxfId="2" priority="2">
      <formula>I2="Compliant"</formula>
    </cfRule>
    <cfRule type="expression" dxfId="1" priority="3">
      <formula>I2="Overdue"</formula>
    </cfRule>
    <cfRule type="expression" dxfId="0" priority="4">
      <formula>I2="Pending"</formula>
    </cfRule>
  </conditionalFormatting>
  <dataValidations count="1">
    <dataValidation type="list" sqref="I2:I17" xr:uid="{00000000-0002-0000-0400-000000000000}">
      <formula1>"Compliant,Pending,Overdue,Not Applicable"</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7"/>
  <sheetViews>
    <sheetView topLeftCell="D1" zoomScaleNormal="100" workbookViewId="0">
      <pane ySplit="1" topLeftCell="A6" activePane="bottomLeft" state="frozen"/>
      <selection pane="bottomLeft"/>
    </sheetView>
  </sheetViews>
  <sheetFormatPr defaultColWidth="8.7109375" defaultRowHeight="15" x14ac:dyDescent="0.25"/>
  <cols>
    <col min="1" max="1" width="25" customWidth="1"/>
    <col min="2" max="2" width="45" customWidth="1"/>
    <col min="3" max="3" width="50" customWidth="1"/>
    <col min="4" max="4" width="40" customWidth="1"/>
    <col min="5" max="5" width="20" customWidth="1"/>
    <col min="6" max="6" width="22" customWidth="1"/>
    <col min="7" max="7" width="18" customWidth="1"/>
    <col min="8" max="8" width="30" customWidth="1"/>
  </cols>
  <sheetData>
    <row r="1" spans="1:8" ht="39.75" customHeight="1" x14ac:dyDescent="0.25">
      <c r="A1" s="2" t="s">
        <v>2377</v>
      </c>
      <c r="B1" s="2" t="s">
        <v>2378</v>
      </c>
      <c r="C1" s="2" t="s">
        <v>2379</v>
      </c>
      <c r="D1" s="2" t="s">
        <v>2380</v>
      </c>
      <c r="E1" s="2" t="s">
        <v>2381</v>
      </c>
      <c r="F1" s="2" t="s">
        <v>2382</v>
      </c>
      <c r="G1" s="2" t="s">
        <v>2383</v>
      </c>
      <c r="H1" s="2" t="s">
        <v>2384</v>
      </c>
    </row>
    <row r="2" spans="1:8" ht="60" customHeight="1" x14ac:dyDescent="0.25">
      <c r="A2" s="61" t="s">
        <v>2385</v>
      </c>
      <c r="B2" s="62" t="s">
        <v>2386</v>
      </c>
      <c r="C2" s="62" t="s">
        <v>2387</v>
      </c>
      <c r="D2" s="62" t="s">
        <v>2388</v>
      </c>
      <c r="E2" s="62" t="s">
        <v>2389</v>
      </c>
      <c r="F2" s="62" t="s">
        <v>2390</v>
      </c>
      <c r="G2" s="62" t="s">
        <v>2391</v>
      </c>
      <c r="H2" s="103" t="s">
        <v>2392</v>
      </c>
    </row>
    <row r="3" spans="1:8" ht="60" customHeight="1" x14ac:dyDescent="0.25">
      <c r="A3" s="64" t="s">
        <v>1759</v>
      </c>
      <c r="B3" s="65" t="s">
        <v>2393</v>
      </c>
      <c r="C3" s="65" t="s">
        <v>2394</v>
      </c>
      <c r="D3" s="65" t="s">
        <v>2395</v>
      </c>
      <c r="E3" s="65" t="s">
        <v>2396</v>
      </c>
      <c r="F3" s="65" t="s">
        <v>2397</v>
      </c>
      <c r="G3" s="65" t="s">
        <v>2391</v>
      </c>
      <c r="H3" s="104" t="s">
        <v>2398</v>
      </c>
    </row>
    <row r="4" spans="1:8" ht="60" customHeight="1" x14ac:dyDescent="0.25">
      <c r="A4" s="61" t="s">
        <v>580</v>
      </c>
      <c r="B4" s="62" t="s">
        <v>2399</v>
      </c>
      <c r="C4" s="62" t="s">
        <v>2400</v>
      </c>
      <c r="D4" s="62" t="s">
        <v>2401</v>
      </c>
      <c r="E4" s="62" t="s">
        <v>2396</v>
      </c>
      <c r="F4" s="62" t="s">
        <v>1743</v>
      </c>
      <c r="G4" s="62" t="s">
        <v>2391</v>
      </c>
      <c r="H4" s="103" t="s">
        <v>2402</v>
      </c>
    </row>
    <row r="5" spans="1:8" ht="60" customHeight="1" x14ac:dyDescent="0.25">
      <c r="A5" s="64" t="s">
        <v>1815</v>
      </c>
      <c r="B5" s="65" t="s">
        <v>2403</v>
      </c>
      <c r="C5" s="65" t="s">
        <v>2404</v>
      </c>
      <c r="D5" s="65" t="s">
        <v>2405</v>
      </c>
      <c r="E5" s="65" t="s">
        <v>2396</v>
      </c>
      <c r="F5" s="65" t="s">
        <v>1783</v>
      </c>
      <c r="G5" s="65" t="s">
        <v>2391</v>
      </c>
      <c r="H5" s="105" t="s">
        <v>2406</v>
      </c>
    </row>
    <row r="6" spans="1:8" ht="60" customHeight="1" x14ac:dyDescent="0.25">
      <c r="A6" s="61" t="s">
        <v>701</v>
      </c>
      <c r="B6" s="62" t="s">
        <v>2407</v>
      </c>
      <c r="C6" s="62" t="s">
        <v>2408</v>
      </c>
      <c r="D6" s="62" t="s">
        <v>2409</v>
      </c>
      <c r="E6" s="62" t="s">
        <v>2396</v>
      </c>
      <c r="F6" s="62" t="s">
        <v>2345</v>
      </c>
      <c r="G6" s="62" t="s">
        <v>2391</v>
      </c>
      <c r="H6" s="103" t="s">
        <v>2410</v>
      </c>
    </row>
    <row r="7" spans="1:8" ht="60" customHeight="1" x14ac:dyDescent="0.25">
      <c r="A7" s="64" t="s">
        <v>1111</v>
      </c>
      <c r="B7" s="65" t="s">
        <v>2411</v>
      </c>
      <c r="C7" s="65" t="s">
        <v>2412</v>
      </c>
      <c r="D7" s="65" t="s">
        <v>2413</v>
      </c>
      <c r="E7" s="65" t="s">
        <v>2389</v>
      </c>
      <c r="F7" s="65" t="s">
        <v>1783</v>
      </c>
      <c r="G7" s="65" t="s">
        <v>2391</v>
      </c>
      <c r="H7" s="104" t="s">
        <v>2414</v>
      </c>
    </row>
    <row r="8" spans="1:8" ht="60" customHeight="1" x14ac:dyDescent="0.25">
      <c r="A8" s="61" t="s">
        <v>634</v>
      </c>
      <c r="B8" s="62" t="s">
        <v>2415</v>
      </c>
      <c r="C8" s="62" t="s">
        <v>2416</v>
      </c>
      <c r="D8" s="62" t="s">
        <v>2417</v>
      </c>
      <c r="E8" s="62" t="s">
        <v>2418</v>
      </c>
      <c r="F8" s="62" t="s">
        <v>2419</v>
      </c>
      <c r="G8" s="62" t="s">
        <v>2391</v>
      </c>
      <c r="H8" s="23" t="s">
        <v>2420</v>
      </c>
    </row>
    <row r="9" spans="1:8" ht="60" customHeight="1" x14ac:dyDescent="0.25">
      <c r="A9" s="64" t="s">
        <v>2323</v>
      </c>
      <c r="B9" s="65" t="s">
        <v>2421</v>
      </c>
      <c r="C9" s="65" t="s">
        <v>2422</v>
      </c>
      <c r="D9" s="65" t="s">
        <v>2423</v>
      </c>
      <c r="E9" s="65" t="s">
        <v>2396</v>
      </c>
      <c r="F9" s="65" t="s">
        <v>1978</v>
      </c>
      <c r="G9" s="65" t="s">
        <v>2391</v>
      </c>
      <c r="H9" s="104" t="s">
        <v>2424</v>
      </c>
    </row>
    <row r="10" spans="1:8" ht="60" customHeight="1" x14ac:dyDescent="0.25">
      <c r="A10" s="61" t="s">
        <v>986</v>
      </c>
      <c r="B10" s="62" t="s">
        <v>2425</v>
      </c>
      <c r="C10" s="62" t="s">
        <v>2426</v>
      </c>
      <c r="D10" s="62" t="s">
        <v>2427</v>
      </c>
      <c r="E10" s="62" t="s">
        <v>2396</v>
      </c>
      <c r="F10" s="62" t="s">
        <v>2332</v>
      </c>
      <c r="G10" s="62" t="s">
        <v>2391</v>
      </c>
      <c r="H10" s="103" t="s">
        <v>2428</v>
      </c>
    </row>
    <row r="11" spans="1:8" ht="60" customHeight="1" x14ac:dyDescent="0.25">
      <c r="A11" s="64" t="s">
        <v>619</v>
      </c>
      <c r="B11" s="65" t="s">
        <v>2429</v>
      </c>
      <c r="C11" s="65" t="s">
        <v>2430</v>
      </c>
      <c r="D11" s="65" t="s">
        <v>2431</v>
      </c>
      <c r="E11" s="65" t="s">
        <v>2432</v>
      </c>
      <c r="F11" s="65" t="s">
        <v>2433</v>
      </c>
      <c r="G11" s="65" t="s">
        <v>2391</v>
      </c>
      <c r="H11" s="105" t="s">
        <v>2434</v>
      </c>
    </row>
    <row r="12" spans="1:8" ht="60" customHeight="1" x14ac:dyDescent="0.25">
      <c r="A12" s="61" t="s">
        <v>2341</v>
      </c>
      <c r="B12" s="62" t="s">
        <v>2435</v>
      </c>
      <c r="C12" s="62" t="s">
        <v>2436</v>
      </c>
      <c r="D12" s="62" t="s">
        <v>2437</v>
      </c>
      <c r="E12" s="62" t="s">
        <v>2396</v>
      </c>
      <c r="F12" s="62" t="s">
        <v>2345</v>
      </c>
      <c r="G12" s="62" t="s">
        <v>2391</v>
      </c>
      <c r="H12" s="106" t="s">
        <v>2438</v>
      </c>
    </row>
    <row r="13" spans="1:8" ht="60" customHeight="1" x14ac:dyDescent="0.25">
      <c r="A13" s="64" t="s">
        <v>1145</v>
      </c>
      <c r="B13" s="65" t="s">
        <v>2439</v>
      </c>
      <c r="C13" s="65" t="s">
        <v>2440</v>
      </c>
      <c r="D13" s="65" t="s">
        <v>2441</v>
      </c>
      <c r="E13" s="65" t="s">
        <v>2396</v>
      </c>
      <c r="F13" s="65" t="s">
        <v>2442</v>
      </c>
      <c r="G13" s="65" t="s">
        <v>2391</v>
      </c>
      <c r="H13" s="105" t="s">
        <v>2443</v>
      </c>
    </row>
    <row r="14" spans="1:8" ht="60" customHeight="1" x14ac:dyDescent="0.25">
      <c r="A14" s="61" t="s">
        <v>2353</v>
      </c>
      <c r="B14" s="62" t="s">
        <v>2444</v>
      </c>
      <c r="C14" s="62" t="s">
        <v>2445</v>
      </c>
      <c r="D14" s="62" t="s">
        <v>2446</v>
      </c>
      <c r="E14" s="62" t="s">
        <v>2396</v>
      </c>
      <c r="F14" s="62" t="s">
        <v>1944</v>
      </c>
      <c r="G14" s="62" t="s">
        <v>2391</v>
      </c>
      <c r="H14" s="106" t="s">
        <v>2447</v>
      </c>
    </row>
    <row r="15" spans="1:8" ht="60" customHeight="1" x14ac:dyDescent="0.25">
      <c r="A15" s="64" t="s">
        <v>2358</v>
      </c>
      <c r="B15" s="65" t="s">
        <v>2448</v>
      </c>
      <c r="C15" s="65" t="s">
        <v>2449</v>
      </c>
      <c r="D15" s="65" t="s">
        <v>2450</v>
      </c>
      <c r="E15" s="65" t="s">
        <v>2396</v>
      </c>
      <c r="F15" s="65" t="s">
        <v>2451</v>
      </c>
      <c r="G15" s="65" t="s">
        <v>2391</v>
      </c>
      <c r="H15" s="105" t="s">
        <v>2452</v>
      </c>
    </row>
    <row r="16" spans="1:8" ht="60" customHeight="1" x14ac:dyDescent="0.25">
      <c r="A16" s="61" t="s">
        <v>2364</v>
      </c>
      <c r="B16" s="62" t="s">
        <v>2453</v>
      </c>
      <c r="C16" s="62" t="s">
        <v>2454</v>
      </c>
      <c r="D16" s="62" t="s">
        <v>2455</v>
      </c>
      <c r="E16" s="62" t="s">
        <v>2396</v>
      </c>
      <c r="F16" s="62" t="s">
        <v>2367</v>
      </c>
      <c r="G16" s="62" t="s">
        <v>2391</v>
      </c>
      <c r="H16" s="103" t="s">
        <v>2456</v>
      </c>
    </row>
    <row r="17" spans="1:8" ht="60" customHeight="1" x14ac:dyDescent="0.25">
      <c r="A17" s="64" t="s">
        <v>2457</v>
      </c>
      <c r="B17" s="65" t="s">
        <v>2458</v>
      </c>
      <c r="C17" s="65" t="s">
        <v>2459</v>
      </c>
      <c r="D17" s="65" t="s">
        <v>2460</v>
      </c>
      <c r="E17" s="65" t="s">
        <v>2389</v>
      </c>
      <c r="F17" s="65" t="s">
        <v>2461</v>
      </c>
      <c r="G17" s="65" t="s">
        <v>2391</v>
      </c>
      <c r="H17" s="104" t="s">
        <v>2462</v>
      </c>
    </row>
  </sheetData>
  <autoFilter ref="A1:H1" xr:uid="{00000000-0009-0000-0000-00000500000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0"/>
  <sheetViews>
    <sheetView zoomScaleNormal="100" workbookViewId="0">
      <pane ySplit="1" topLeftCell="A6" activePane="bottomLeft" state="frozen"/>
      <selection pane="bottomLeft"/>
    </sheetView>
  </sheetViews>
  <sheetFormatPr defaultColWidth="8.7109375" defaultRowHeight="15" x14ac:dyDescent="0.25"/>
  <cols>
    <col min="1" max="1" width="35" customWidth="1"/>
    <col min="2" max="2" width="25" customWidth="1"/>
    <col min="3" max="3" width="18" customWidth="1"/>
    <col min="4" max="4" width="50" customWidth="1"/>
    <col min="5" max="5" width="25" customWidth="1"/>
    <col min="6" max="6" width="18" customWidth="1"/>
    <col min="7" max="7" width="40" customWidth="1"/>
    <col min="8" max="8" width="18" customWidth="1"/>
  </cols>
  <sheetData>
    <row r="1" spans="1:8" ht="39.75" customHeight="1" x14ac:dyDescent="0.25">
      <c r="A1" s="1" t="s">
        <v>2463</v>
      </c>
      <c r="B1" s="1" t="s">
        <v>2464</v>
      </c>
      <c r="C1" s="1" t="s">
        <v>2465</v>
      </c>
      <c r="D1" s="1" t="s">
        <v>2466</v>
      </c>
      <c r="E1" s="1" t="s">
        <v>2467</v>
      </c>
      <c r="F1" s="1" t="s">
        <v>2468</v>
      </c>
      <c r="G1" s="1" t="s">
        <v>2469</v>
      </c>
      <c r="H1" s="1" t="s">
        <v>2470</v>
      </c>
    </row>
    <row r="2" spans="1:8" ht="54.75" customHeight="1" x14ac:dyDescent="0.25">
      <c r="A2" s="79" t="s">
        <v>2471</v>
      </c>
      <c r="B2" s="80" t="s">
        <v>2472</v>
      </c>
      <c r="C2" s="107" t="s">
        <v>2473</v>
      </c>
      <c r="D2" s="80" t="s">
        <v>2474</v>
      </c>
      <c r="E2" s="80" t="s">
        <v>1589</v>
      </c>
      <c r="F2" s="80" t="s">
        <v>2475</v>
      </c>
      <c r="G2" s="80" t="s">
        <v>2476</v>
      </c>
      <c r="H2" s="80">
        <v>8</v>
      </c>
    </row>
    <row r="3" spans="1:8" ht="54.75" customHeight="1" x14ac:dyDescent="0.25">
      <c r="A3" s="64" t="s">
        <v>2477</v>
      </c>
      <c r="B3" s="65" t="s">
        <v>2472</v>
      </c>
      <c r="C3" s="108" t="s">
        <v>2478</v>
      </c>
      <c r="D3" s="65" t="s">
        <v>2479</v>
      </c>
      <c r="E3" s="65" t="s">
        <v>2302</v>
      </c>
      <c r="F3" s="65" t="s">
        <v>1855</v>
      </c>
      <c r="G3" s="65" t="s">
        <v>2480</v>
      </c>
      <c r="H3" s="65">
        <v>9</v>
      </c>
    </row>
    <row r="4" spans="1:8" ht="54.75" customHeight="1" x14ac:dyDescent="0.25">
      <c r="A4" s="79" t="s">
        <v>2481</v>
      </c>
      <c r="B4" s="80" t="s">
        <v>2472</v>
      </c>
      <c r="C4" s="108" t="s">
        <v>2478</v>
      </c>
      <c r="D4" s="80" t="s">
        <v>2482</v>
      </c>
      <c r="E4" s="80" t="s">
        <v>2483</v>
      </c>
      <c r="F4" s="80" t="s">
        <v>2484</v>
      </c>
      <c r="G4" s="80" t="s">
        <v>2485</v>
      </c>
      <c r="H4" s="80">
        <v>8</v>
      </c>
    </row>
    <row r="5" spans="1:8" ht="54.75" customHeight="1" x14ac:dyDescent="0.25">
      <c r="A5" s="64" t="s">
        <v>2486</v>
      </c>
      <c r="B5" s="65" t="s">
        <v>2472</v>
      </c>
      <c r="C5" s="107" t="s">
        <v>2473</v>
      </c>
      <c r="D5" s="65" t="s">
        <v>2487</v>
      </c>
      <c r="E5" s="65" t="s">
        <v>1589</v>
      </c>
      <c r="F5" s="65" t="s">
        <v>1742</v>
      </c>
      <c r="G5" s="65" t="s">
        <v>2488</v>
      </c>
      <c r="H5" s="65">
        <v>8</v>
      </c>
    </row>
    <row r="6" spans="1:8" ht="54.75" customHeight="1" x14ac:dyDescent="0.25">
      <c r="A6" s="79" t="s">
        <v>2489</v>
      </c>
      <c r="B6" s="80" t="s">
        <v>2472</v>
      </c>
      <c r="C6" s="109" t="s">
        <v>2490</v>
      </c>
      <c r="D6" s="80" t="s">
        <v>2491</v>
      </c>
      <c r="E6" s="80" t="s">
        <v>1352</v>
      </c>
      <c r="F6" s="80" t="s">
        <v>1754</v>
      </c>
      <c r="G6" s="80" t="s">
        <v>2492</v>
      </c>
      <c r="H6" s="80">
        <v>9</v>
      </c>
    </row>
    <row r="7" spans="1:8" ht="54.75" customHeight="1" x14ac:dyDescent="0.25">
      <c r="A7" s="64" t="s">
        <v>2493</v>
      </c>
      <c r="B7" s="65" t="s">
        <v>2472</v>
      </c>
      <c r="C7" s="108" t="s">
        <v>2478</v>
      </c>
      <c r="D7" s="65" t="s">
        <v>2494</v>
      </c>
      <c r="E7" s="65" t="s">
        <v>2495</v>
      </c>
      <c r="F7" s="65" t="s">
        <v>1754</v>
      </c>
      <c r="G7" s="65" t="s">
        <v>2496</v>
      </c>
      <c r="H7" s="65">
        <v>9</v>
      </c>
    </row>
    <row r="8" spans="1:8" ht="54.75" customHeight="1" x14ac:dyDescent="0.25">
      <c r="A8" s="79" t="s">
        <v>2497</v>
      </c>
      <c r="B8" s="80" t="s">
        <v>2472</v>
      </c>
      <c r="C8" s="108" t="s">
        <v>2478</v>
      </c>
      <c r="D8" s="80" t="s">
        <v>2498</v>
      </c>
      <c r="E8" s="80" t="s">
        <v>670</v>
      </c>
      <c r="F8" s="80" t="s">
        <v>1919</v>
      </c>
      <c r="G8" s="80" t="s">
        <v>2499</v>
      </c>
      <c r="H8" s="80">
        <v>8</v>
      </c>
    </row>
    <row r="9" spans="1:8" ht="54.75" customHeight="1" x14ac:dyDescent="0.25">
      <c r="A9" s="64" t="s">
        <v>2500</v>
      </c>
      <c r="B9" s="65" t="s">
        <v>2472</v>
      </c>
      <c r="C9" s="107" t="s">
        <v>2473</v>
      </c>
      <c r="D9" s="65" t="s">
        <v>2501</v>
      </c>
      <c r="E9" s="65" t="s">
        <v>1589</v>
      </c>
      <c r="F9" s="65" t="s">
        <v>1742</v>
      </c>
      <c r="G9" s="65" t="s">
        <v>2502</v>
      </c>
      <c r="H9" s="65">
        <v>7</v>
      </c>
    </row>
    <row r="10" spans="1:8" ht="54.75" customHeight="1" x14ac:dyDescent="0.25">
      <c r="A10" s="79" t="s">
        <v>2503</v>
      </c>
      <c r="B10" s="80" t="s">
        <v>2472</v>
      </c>
      <c r="C10" s="107" t="s">
        <v>2473</v>
      </c>
      <c r="D10" s="80" t="s">
        <v>2504</v>
      </c>
      <c r="E10" s="80" t="s">
        <v>2337</v>
      </c>
      <c r="F10" s="80" t="s">
        <v>1794</v>
      </c>
      <c r="G10" s="80" t="s">
        <v>2505</v>
      </c>
      <c r="H10" s="80">
        <v>8</v>
      </c>
    </row>
    <row r="11" spans="1:8" ht="54.75" customHeight="1" x14ac:dyDescent="0.25">
      <c r="A11" s="64" t="s">
        <v>2506</v>
      </c>
      <c r="B11" s="65" t="s">
        <v>2472</v>
      </c>
      <c r="C11" s="108" t="s">
        <v>2478</v>
      </c>
      <c r="D11" s="65" t="s">
        <v>2507</v>
      </c>
      <c r="E11" s="65" t="s">
        <v>2373</v>
      </c>
      <c r="F11" s="65" t="s">
        <v>2508</v>
      </c>
      <c r="G11" s="65" t="s">
        <v>2509</v>
      </c>
      <c r="H11" s="65">
        <v>9</v>
      </c>
    </row>
    <row r="12" spans="1:8" ht="54.75" customHeight="1" x14ac:dyDescent="0.25">
      <c r="A12" s="79" t="s">
        <v>2510</v>
      </c>
      <c r="B12" s="80" t="s">
        <v>2472</v>
      </c>
      <c r="C12" s="109" t="s">
        <v>2490</v>
      </c>
      <c r="D12" s="80" t="s">
        <v>2511</v>
      </c>
      <c r="E12" s="80" t="s">
        <v>1352</v>
      </c>
      <c r="F12" s="80" t="s">
        <v>2475</v>
      </c>
      <c r="G12" s="80" t="s">
        <v>2512</v>
      </c>
      <c r="H12" s="80">
        <v>9</v>
      </c>
    </row>
    <row r="13" spans="1:8" ht="54.75" customHeight="1" x14ac:dyDescent="0.25">
      <c r="A13" s="64" t="s">
        <v>2513</v>
      </c>
      <c r="B13" s="65" t="s">
        <v>2472</v>
      </c>
      <c r="C13" s="107" t="s">
        <v>2473</v>
      </c>
      <c r="D13" s="65" t="s">
        <v>2514</v>
      </c>
      <c r="E13" s="65" t="s">
        <v>2314</v>
      </c>
      <c r="F13" s="65" t="s">
        <v>1890</v>
      </c>
      <c r="G13" s="65" t="s">
        <v>2413</v>
      </c>
      <c r="H13" s="65">
        <v>8</v>
      </c>
    </row>
    <row r="14" spans="1:8" ht="54.75" customHeight="1" x14ac:dyDescent="0.25">
      <c r="A14" s="79" t="s">
        <v>2515</v>
      </c>
      <c r="B14" s="80" t="s">
        <v>2472</v>
      </c>
      <c r="C14" s="107" t="s">
        <v>2473</v>
      </c>
      <c r="D14" s="80" t="s">
        <v>2516</v>
      </c>
      <c r="E14" s="80" t="s">
        <v>2517</v>
      </c>
      <c r="F14" s="80" t="s">
        <v>2518</v>
      </c>
      <c r="G14" s="80" t="s">
        <v>2519</v>
      </c>
      <c r="H14" s="80">
        <v>8</v>
      </c>
    </row>
    <row r="15" spans="1:8" ht="54.75" customHeight="1" x14ac:dyDescent="0.25">
      <c r="A15" s="64" t="s">
        <v>2520</v>
      </c>
      <c r="B15" s="65" t="s">
        <v>2472</v>
      </c>
      <c r="C15" s="108" t="s">
        <v>2478</v>
      </c>
      <c r="D15" s="65" t="s">
        <v>2521</v>
      </c>
      <c r="E15" s="65" t="s">
        <v>2522</v>
      </c>
      <c r="F15" s="65" t="s">
        <v>1977</v>
      </c>
      <c r="G15" s="65" t="s">
        <v>2523</v>
      </c>
      <c r="H15" s="65">
        <v>9</v>
      </c>
    </row>
    <row r="16" spans="1:8" ht="54.75" customHeight="1" x14ac:dyDescent="0.25">
      <c r="A16" s="79" t="s">
        <v>2524</v>
      </c>
      <c r="B16" s="80" t="s">
        <v>2472</v>
      </c>
      <c r="C16" s="107" t="s">
        <v>2473</v>
      </c>
      <c r="D16" s="80" t="s">
        <v>2525</v>
      </c>
      <c r="E16" s="80" t="s">
        <v>2526</v>
      </c>
      <c r="F16" s="80" t="s">
        <v>1890</v>
      </c>
      <c r="G16" s="80" t="s">
        <v>2527</v>
      </c>
      <c r="H16" s="80">
        <v>8</v>
      </c>
    </row>
    <row r="17" spans="1:8" ht="54.75" customHeight="1" x14ac:dyDescent="0.25">
      <c r="A17" s="64" t="s">
        <v>2528</v>
      </c>
      <c r="B17" s="65" t="s">
        <v>2472</v>
      </c>
      <c r="C17" s="107" t="s">
        <v>2473</v>
      </c>
      <c r="D17" s="65" t="s">
        <v>2529</v>
      </c>
      <c r="E17" s="65" t="s">
        <v>554</v>
      </c>
      <c r="F17" s="65" t="s">
        <v>1794</v>
      </c>
      <c r="G17" s="65" t="s">
        <v>2530</v>
      </c>
      <c r="H17" s="65">
        <v>7</v>
      </c>
    </row>
    <row r="18" spans="1:8" ht="54.75" customHeight="1" x14ac:dyDescent="0.25">
      <c r="A18" s="79" t="s">
        <v>2531</v>
      </c>
      <c r="B18" s="80" t="s">
        <v>2472</v>
      </c>
      <c r="C18" s="107" t="s">
        <v>2473</v>
      </c>
      <c r="D18" s="80" t="s">
        <v>2532</v>
      </c>
      <c r="E18" s="80" t="s">
        <v>2533</v>
      </c>
      <c r="F18" s="80" t="s">
        <v>2534</v>
      </c>
      <c r="G18" s="80" t="s">
        <v>2535</v>
      </c>
      <c r="H18" s="80">
        <v>8</v>
      </c>
    </row>
    <row r="19" spans="1:8" ht="54.75" customHeight="1" x14ac:dyDescent="0.25">
      <c r="A19" s="64" t="s">
        <v>2536</v>
      </c>
      <c r="B19" s="65" t="s">
        <v>2472</v>
      </c>
      <c r="C19" s="107" t="s">
        <v>2473</v>
      </c>
      <c r="D19" s="65" t="s">
        <v>2537</v>
      </c>
      <c r="E19" s="65" t="s">
        <v>2373</v>
      </c>
      <c r="F19" s="65" t="s">
        <v>1754</v>
      </c>
      <c r="G19" s="65" t="s">
        <v>2538</v>
      </c>
      <c r="H19" s="65">
        <v>9</v>
      </c>
    </row>
    <row r="20" spans="1:8" ht="54.75" customHeight="1" x14ac:dyDescent="0.25">
      <c r="A20" s="110" t="s">
        <v>2539</v>
      </c>
      <c r="B20" s="110" t="s">
        <v>2540</v>
      </c>
      <c r="C20" s="110" t="s">
        <v>2541</v>
      </c>
      <c r="D20" s="110" t="s">
        <v>2542</v>
      </c>
      <c r="E20" s="110" t="s">
        <v>1352</v>
      </c>
      <c r="F20" s="110" t="s">
        <v>2475</v>
      </c>
      <c r="G20" s="110" t="s">
        <v>2543</v>
      </c>
      <c r="H20" s="110">
        <v>9</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34A68-4B23-4711-AFE1-38BB5E81FEA6}">
  <dimension ref="A1:D560"/>
  <sheetViews>
    <sheetView workbookViewId="0">
      <selection sqref="A1:E1048576"/>
    </sheetView>
  </sheetViews>
  <sheetFormatPr defaultRowHeight="15" x14ac:dyDescent="0.25"/>
  <cols>
    <col min="1" max="1" width="5.5703125" bestFit="1" customWidth="1"/>
    <col min="2" max="2" width="9.85546875" bestFit="1" customWidth="1"/>
    <col min="3" max="3" width="35.7109375" bestFit="1" customWidth="1"/>
    <col min="4" max="4" width="11.42578125" bestFit="1" customWidth="1"/>
  </cols>
  <sheetData>
    <row r="1" spans="1:4" x14ac:dyDescent="0.25">
      <c r="A1" s="135" t="s">
        <v>2626</v>
      </c>
      <c r="B1" s="135" t="s">
        <v>2627</v>
      </c>
      <c r="C1" s="135" t="s">
        <v>1729</v>
      </c>
      <c r="D1" s="135" t="s">
        <v>1728</v>
      </c>
    </row>
    <row r="2" spans="1:4" x14ac:dyDescent="0.25">
      <c r="A2" s="136">
        <v>1</v>
      </c>
      <c r="B2" s="136" t="s">
        <v>2628</v>
      </c>
      <c r="C2" s="137" t="s">
        <v>0</v>
      </c>
      <c r="D2" s="138" t="s">
        <v>15</v>
      </c>
    </row>
    <row r="3" spans="1:4" ht="36" x14ac:dyDescent="0.25">
      <c r="A3" s="136">
        <v>2</v>
      </c>
      <c r="B3" s="136" t="s">
        <v>2629</v>
      </c>
      <c r="C3" s="137" t="s">
        <v>0</v>
      </c>
      <c r="D3" s="139" t="s">
        <v>16</v>
      </c>
    </row>
    <row r="4" spans="1:4" ht="36" x14ac:dyDescent="0.25">
      <c r="A4" s="136">
        <v>3</v>
      </c>
      <c r="B4" s="136" t="s">
        <v>2630</v>
      </c>
      <c r="C4" s="137" t="s">
        <v>0</v>
      </c>
      <c r="D4" s="138" t="s">
        <v>17</v>
      </c>
    </row>
    <row r="5" spans="1:4" ht="48" x14ac:dyDescent="0.25">
      <c r="A5" s="136">
        <v>4</v>
      </c>
      <c r="B5" s="136" t="s">
        <v>2631</v>
      </c>
      <c r="C5" s="137" t="s">
        <v>0</v>
      </c>
      <c r="D5" s="139" t="s">
        <v>18</v>
      </c>
    </row>
    <row r="6" spans="1:4" ht="108" x14ac:dyDescent="0.25">
      <c r="A6" s="136">
        <v>5</v>
      </c>
      <c r="B6" s="136" t="s">
        <v>2632</v>
      </c>
      <c r="C6" s="137" t="s">
        <v>0</v>
      </c>
      <c r="D6" s="138" t="s">
        <v>19</v>
      </c>
    </row>
    <row r="7" spans="1:4" ht="144" x14ac:dyDescent="0.25">
      <c r="A7" s="136">
        <v>6</v>
      </c>
      <c r="B7" s="136" t="s">
        <v>2633</v>
      </c>
      <c r="C7" s="137" t="s">
        <v>0</v>
      </c>
      <c r="D7" s="139" t="s">
        <v>20</v>
      </c>
    </row>
    <row r="8" spans="1:4" ht="204" x14ac:dyDescent="0.25">
      <c r="A8" s="136">
        <v>7</v>
      </c>
      <c r="B8" s="136" t="s">
        <v>2634</v>
      </c>
      <c r="C8" s="137" t="s">
        <v>0</v>
      </c>
      <c r="D8" s="138" t="s">
        <v>2565</v>
      </c>
    </row>
    <row r="9" spans="1:4" ht="84" x14ac:dyDescent="0.25">
      <c r="A9" s="136">
        <v>8</v>
      </c>
      <c r="B9" s="136" t="s">
        <v>2635</v>
      </c>
      <c r="C9" s="137" t="s">
        <v>0</v>
      </c>
      <c r="D9" s="139" t="s">
        <v>22</v>
      </c>
    </row>
    <row r="10" spans="1:4" ht="24" x14ac:dyDescent="0.25">
      <c r="A10" s="136">
        <v>9</v>
      </c>
      <c r="B10" s="136" t="s">
        <v>2636</v>
      </c>
      <c r="C10" s="137" t="s">
        <v>0</v>
      </c>
      <c r="D10" s="138" t="s">
        <v>23</v>
      </c>
    </row>
    <row r="11" spans="1:4" ht="24" x14ac:dyDescent="0.25">
      <c r="A11" s="136">
        <v>10</v>
      </c>
      <c r="B11" s="136" t="s">
        <v>2637</v>
      </c>
      <c r="C11" s="137" t="s">
        <v>0</v>
      </c>
      <c r="D11" s="139" t="s">
        <v>24</v>
      </c>
    </row>
    <row r="12" spans="1:4" ht="72" x14ac:dyDescent="0.25">
      <c r="A12" s="136">
        <v>11</v>
      </c>
      <c r="B12" s="136" t="s">
        <v>2638</v>
      </c>
      <c r="C12" s="137" t="s">
        <v>0</v>
      </c>
      <c r="D12" s="138" t="s">
        <v>25</v>
      </c>
    </row>
    <row r="13" spans="1:4" ht="48" x14ac:dyDescent="0.25">
      <c r="A13" s="136">
        <v>12</v>
      </c>
      <c r="B13" s="136" t="s">
        <v>2639</v>
      </c>
      <c r="C13" s="137" t="s">
        <v>0</v>
      </c>
      <c r="D13" s="139" t="s">
        <v>26</v>
      </c>
    </row>
    <row r="14" spans="1:4" ht="24" x14ac:dyDescent="0.25">
      <c r="A14" s="136">
        <v>13</v>
      </c>
      <c r="B14" s="136" t="s">
        <v>2640</v>
      </c>
      <c r="C14" s="137" t="s">
        <v>0</v>
      </c>
      <c r="D14" s="138" t="s">
        <v>27</v>
      </c>
    </row>
    <row r="15" spans="1:4" ht="24" x14ac:dyDescent="0.25">
      <c r="A15" s="136">
        <v>14</v>
      </c>
      <c r="B15" s="136" t="s">
        <v>2641</v>
      </c>
      <c r="C15" s="137" t="s">
        <v>0</v>
      </c>
      <c r="D15" s="139" t="s">
        <v>28</v>
      </c>
    </row>
    <row r="16" spans="1:4" x14ac:dyDescent="0.25">
      <c r="A16" s="136">
        <v>15</v>
      </c>
      <c r="B16" s="136" t="s">
        <v>2642</v>
      </c>
      <c r="C16" s="137" t="s">
        <v>0</v>
      </c>
      <c r="D16" s="138" t="s">
        <v>29</v>
      </c>
    </row>
    <row r="17" spans="1:4" ht="24" x14ac:dyDescent="0.25">
      <c r="A17" s="136">
        <v>16</v>
      </c>
      <c r="B17" s="136" t="s">
        <v>2643</v>
      </c>
      <c r="C17" s="137" t="s">
        <v>0</v>
      </c>
      <c r="D17" s="139" t="s">
        <v>30</v>
      </c>
    </row>
    <row r="18" spans="1:4" ht="36" x14ac:dyDescent="0.25">
      <c r="A18" s="136">
        <v>17</v>
      </c>
      <c r="B18" s="136" t="s">
        <v>2644</v>
      </c>
      <c r="C18" s="137" t="s">
        <v>0</v>
      </c>
      <c r="D18" s="138" t="s">
        <v>31</v>
      </c>
    </row>
    <row r="19" spans="1:4" ht="36" x14ac:dyDescent="0.25">
      <c r="A19" s="136">
        <v>18</v>
      </c>
      <c r="B19" s="136" t="s">
        <v>2645</v>
      </c>
      <c r="C19" s="137" t="s">
        <v>0</v>
      </c>
      <c r="D19" s="139" t="s">
        <v>32</v>
      </c>
    </row>
    <row r="20" spans="1:4" ht="48" x14ac:dyDescent="0.25">
      <c r="A20" s="136">
        <v>19</v>
      </c>
      <c r="B20" s="136" t="s">
        <v>2646</v>
      </c>
      <c r="C20" s="137" t="s">
        <v>0</v>
      </c>
      <c r="D20" s="138" t="s">
        <v>33</v>
      </c>
    </row>
    <row r="21" spans="1:4" ht="36" x14ac:dyDescent="0.25">
      <c r="A21" s="136">
        <v>20</v>
      </c>
      <c r="B21" s="136" t="s">
        <v>2647</v>
      </c>
      <c r="C21" s="137" t="s">
        <v>0</v>
      </c>
      <c r="D21" s="139" t="s">
        <v>34</v>
      </c>
    </row>
    <row r="22" spans="1:4" ht="24" x14ac:dyDescent="0.25">
      <c r="A22" s="136">
        <v>21</v>
      </c>
      <c r="B22" s="136" t="s">
        <v>2648</v>
      </c>
      <c r="C22" s="137" t="s">
        <v>0</v>
      </c>
      <c r="D22" s="138" t="s">
        <v>35</v>
      </c>
    </row>
    <row r="23" spans="1:4" ht="24" x14ac:dyDescent="0.25">
      <c r="A23" s="136">
        <v>22</v>
      </c>
      <c r="B23" s="136" t="s">
        <v>2649</v>
      </c>
      <c r="C23" s="137" t="s">
        <v>0</v>
      </c>
      <c r="D23" s="139" t="s">
        <v>36</v>
      </c>
    </row>
    <row r="24" spans="1:4" ht="48" x14ac:dyDescent="0.25">
      <c r="A24" s="136">
        <v>23</v>
      </c>
      <c r="B24" s="136" t="s">
        <v>2650</v>
      </c>
      <c r="C24" s="137" t="s">
        <v>0</v>
      </c>
      <c r="D24" s="138" t="s">
        <v>37</v>
      </c>
    </row>
    <row r="25" spans="1:4" ht="36" x14ac:dyDescent="0.25">
      <c r="A25" s="136">
        <v>24</v>
      </c>
      <c r="B25" s="136" t="s">
        <v>2651</v>
      </c>
      <c r="C25" s="137" t="s">
        <v>0</v>
      </c>
      <c r="D25" s="139" t="s">
        <v>38</v>
      </c>
    </row>
    <row r="26" spans="1:4" ht="60" x14ac:dyDescent="0.25">
      <c r="A26" s="136">
        <v>25</v>
      </c>
      <c r="B26" s="136" t="s">
        <v>2391</v>
      </c>
      <c r="C26" s="137" t="s">
        <v>0</v>
      </c>
      <c r="D26" s="138" t="s">
        <v>39</v>
      </c>
    </row>
    <row r="27" spans="1:4" ht="48" x14ac:dyDescent="0.25">
      <c r="A27" s="136">
        <v>26</v>
      </c>
      <c r="B27" s="136" t="s">
        <v>2652</v>
      </c>
      <c r="C27" s="137" t="s">
        <v>0</v>
      </c>
      <c r="D27" s="139" t="s">
        <v>40</v>
      </c>
    </row>
    <row r="28" spans="1:4" ht="48" x14ac:dyDescent="0.25">
      <c r="A28" s="136">
        <v>27</v>
      </c>
      <c r="B28" s="136" t="s">
        <v>2653</v>
      </c>
      <c r="C28" s="137" t="s">
        <v>0</v>
      </c>
      <c r="D28" s="138" t="s">
        <v>41</v>
      </c>
    </row>
    <row r="29" spans="1:4" ht="60" x14ac:dyDescent="0.25">
      <c r="A29" s="136">
        <v>28</v>
      </c>
      <c r="B29" s="136" t="s">
        <v>2654</v>
      </c>
      <c r="C29" s="140" t="s">
        <v>1</v>
      </c>
      <c r="D29" s="139" t="s">
        <v>42</v>
      </c>
    </row>
    <row r="30" spans="1:4" ht="60" x14ac:dyDescent="0.25">
      <c r="A30" s="136">
        <v>29</v>
      </c>
      <c r="B30" s="136" t="s">
        <v>2655</v>
      </c>
      <c r="C30" s="140" t="s">
        <v>1</v>
      </c>
      <c r="D30" s="138" t="s">
        <v>43</v>
      </c>
    </row>
    <row r="31" spans="1:4" ht="72" x14ac:dyDescent="0.25">
      <c r="A31" s="136">
        <v>30</v>
      </c>
      <c r="B31" s="136" t="s">
        <v>2656</v>
      </c>
      <c r="C31" s="140" t="s">
        <v>1</v>
      </c>
      <c r="D31" s="139" t="s">
        <v>44</v>
      </c>
    </row>
    <row r="32" spans="1:4" ht="36" x14ac:dyDescent="0.25">
      <c r="A32" s="136">
        <v>31</v>
      </c>
      <c r="B32" s="136" t="s">
        <v>2657</v>
      </c>
      <c r="C32" s="140" t="s">
        <v>1</v>
      </c>
      <c r="D32" s="138" t="s">
        <v>45</v>
      </c>
    </row>
    <row r="33" spans="1:4" ht="84" x14ac:dyDescent="0.25">
      <c r="A33" s="136">
        <v>32</v>
      </c>
      <c r="B33" s="136" t="s">
        <v>2658</v>
      </c>
      <c r="C33" s="140" t="s">
        <v>1</v>
      </c>
      <c r="D33" s="139" t="s">
        <v>2659</v>
      </c>
    </row>
    <row r="34" spans="1:4" ht="48" x14ac:dyDescent="0.25">
      <c r="A34" s="136">
        <v>33</v>
      </c>
      <c r="B34" s="136" t="s">
        <v>2660</v>
      </c>
      <c r="C34" s="140" t="s">
        <v>1</v>
      </c>
      <c r="D34" s="138" t="s">
        <v>2570</v>
      </c>
    </row>
    <row r="35" spans="1:4" ht="36" x14ac:dyDescent="0.25">
      <c r="A35" s="136">
        <v>34</v>
      </c>
      <c r="B35" s="136" t="s">
        <v>2661</v>
      </c>
      <c r="C35" s="140" t="s">
        <v>1</v>
      </c>
      <c r="D35" s="139" t="s">
        <v>48</v>
      </c>
    </row>
    <row r="36" spans="1:4" ht="36" x14ac:dyDescent="0.25">
      <c r="A36" s="136">
        <v>35</v>
      </c>
      <c r="B36" s="136" t="s">
        <v>2662</v>
      </c>
      <c r="C36" s="140" t="s">
        <v>1</v>
      </c>
      <c r="D36" s="138" t="s">
        <v>49</v>
      </c>
    </row>
    <row r="37" spans="1:4" ht="24" x14ac:dyDescent="0.25">
      <c r="A37" s="136">
        <v>36</v>
      </c>
      <c r="B37" s="136" t="s">
        <v>2663</v>
      </c>
      <c r="C37" s="140" t="s">
        <v>1</v>
      </c>
      <c r="D37" s="139" t="s">
        <v>50</v>
      </c>
    </row>
    <row r="38" spans="1:4" ht="24" x14ac:dyDescent="0.25">
      <c r="A38" s="136">
        <v>37</v>
      </c>
      <c r="B38" s="136" t="s">
        <v>2664</v>
      </c>
      <c r="C38" s="140" t="s">
        <v>1</v>
      </c>
      <c r="D38" s="138" t="s">
        <v>51</v>
      </c>
    </row>
    <row r="39" spans="1:4" ht="48" x14ac:dyDescent="0.25">
      <c r="A39" s="136">
        <v>38</v>
      </c>
      <c r="B39" s="136" t="s">
        <v>2665</v>
      </c>
      <c r="C39" s="140" t="s">
        <v>1</v>
      </c>
      <c r="D39" s="139" t="s">
        <v>2578</v>
      </c>
    </row>
    <row r="40" spans="1:4" ht="60" x14ac:dyDescent="0.25">
      <c r="A40" s="136">
        <v>39</v>
      </c>
      <c r="B40" s="136" t="s">
        <v>2666</v>
      </c>
      <c r="C40" s="140" t="s">
        <v>1</v>
      </c>
      <c r="D40" s="138" t="s">
        <v>53</v>
      </c>
    </row>
    <row r="41" spans="1:4" ht="144" x14ac:dyDescent="0.25">
      <c r="A41" s="136">
        <v>40</v>
      </c>
      <c r="B41" s="136" t="s">
        <v>2667</v>
      </c>
      <c r="C41" s="141" t="s">
        <v>2</v>
      </c>
      <c r="D41" s="139" t="s">
        <v>54</v>
      </c>
    </row>
    <row r="42" spans="1:4" ht="84" x14ac:dyDescent="0.25">
      <c r="A42" s="136">
        <v>41</v>
      </c>
      <c r="B42" s="136" t="s">
        <v>2668</v>
      </c>
      <c r="C42" s="141" t="s">
        <v>2</v>
      </c>
      <c r="D42" s="138" t="s">
        <v>55</v>
      </c>
    </row>
    <row r="43" spans="1:4" ht="60" x14ac:dyDescent="0.25">
      <c r="A43" s="136">
        <v>42</v>
      </c>
      <c r="B43" s="136" t="s">
        <v>2669</v>
      </c>
      <c r="C43" s="141" t="s">
        <v>2</v>
      </c>
      <c r="D43" s="139" t="s">
        <v>56</v>
      </c>
    </row>
    <row r="44" spans="1:4" ht="60" x14ac:dyDescent="0.25">
      <c r="A44" s="136">
        <v>43</v>
      </c>
      <c r="B44" s="136" t="s">
        <v>2670</v>
      </c>
      <c r="C44" s="141" t="s">
        <v>2</v>
      </c>
      <c r="D44" s="138" t="s">
        <v>57</v>
      </c>
    </row>
    <row r="45" spans="1:4" ht="48" x14ac:dyDescent="0.25">
      <c r="A45" s="136">
        <v>44</v>
      </c>
      <c r="B45" s="136" t="s">
        <v>2671</v>
      </c>
      <c r="C45" s="141" t="s">
        <v>2</v>
      </c>
      <c r="D45" s="139" t="s">
        <v>58</v>
      </c>
    </row>
    <row r="46" spans="1:4" ht="36" x14ac:dyDescent="0.25">
      <c r="A46" s="136">
        <v>45</v>
      </c>
      <c r="B46" s="136" t="s">
        <v>2672</v>
      </c>
      <c r="C46" s="141" t="s">
        <v>2</v>
      </c>
      <c r="D46" s="138" t="s">
        <v>59</v>
      </c>
    </row>
    <row r="47" spans="1:4" ht="24" x14ac:dyDescent="0.25">
      <c r="A47" s="136">
        <v>46</v>
      </c>
      <c r="B47" s="136" t="s">
        <v>2673</v>
      </c>
      <c r="C47" s="141" t="s">
        <v>2</v>
      </c>
      <c r="D47" s="139" t="s">
        <v>60</v>
      </c>
    </row>
    <row r="48" spans="1:4" ht="24" x14ac:dyDescent="0.25">
      <c r="A48" s="136">
        <v>47</v>
      </c>
      <c r="B48" s="136" t="s">
        <v>2674</v>
      </c>
      <c r="C48" s="141" t="s">
        <v>2</v>
      </c>
      <c r="D48" s="138" t="s">
        <v>61</v>
      </c>
    </row>
    <row r="49" spans="1:4" ht="24" x14ac:dyDescent="0.25">
      <c r="A49" s="136">
        <v>48</v>
      </c>
      <c r="B49" s="136" t="s">
        <v>2675</v>
      </c>
      <c r="C49" s="141" t="s">
        <v>2</v>
      </c>
      <c r="D49" s="139" t="s">
        <v>62</v>
      </c>
    </row>
    <row r="50" spans="1:4" x14ac:dyDescent="0.25">
      <c r="A50" s="136">
        <v>49</v>
      </c>
      <c r="B50" s="136" t="s">
        <v>2676</v>
      </c>
      <c r="C50" s="141" t="s">
        <v>2</v>
      </c>
      <c r="D50" s="138" t="s">
        <v>63</v>
      </c>
    </row>
    <row r="51" spans="1:4" ht="24" x14ac:dyDescent="0.25">
      <c r="A51" s="136">
        <v>50</v>
      </c>
      <c r="B51" s="136" t="s">
        <v>2677</v>
      </c>
      <c r="C51" s="141" t="s">
        <v>2</v>
      </c>
      <c r="D51" s="139" t="s">
        <v>64</v>
      </c>
    </row>
    <row r="52" spans="1:4" ht="24" x14ac:dyDescent="0.25">
      <c r="A52" s="136">
        <v>51</v>
      </c>
      <c r="B52" s="136" t="s">
        <v>2678</v>
      </c>
      <c r="C52" s="141" t="s">
        <v>2</v>
      </c>
      <c r="D52" s="138" t="s">
        <v>65</v>
      </c>
    </row>
    <row r="53" spans="1:4" ht="60" x14ac:dyDescent="0.25">
      <c r="A53" s="136">
        <v>52</v>
      </c>
      <c r="B53" s="136" t="s">
        <v>2679</v>
      </c>
      <c r="C53" s="141" t="s">
        <v>2</v>
      </c>
      <c r="D53" s="139" t="s">
        <v>66</v>
      </c>
    </row>
    <row r="54" spans="1:4" ht="48" x14ac:dyDescent="0.25">
      <c r="A54" s="136">
        <v>53</v>
      </c>
      <c r="B54" s="136" t="s">
        <v>2680</v>
      </c>
      <c r="C54" s="141" t="s">
        <v>2</v>
      </c>
      <c r="D54" s="138" t="s">
        <v>67</v>
      </c>
    </row>
    <row r="55" spans="1:4" ht="96" x14ac:dyDescent="0.25">
      <c r="A55" s="136">
        <v>54</v>
      </c>
      <c r="B55" s="136" t="s">
        <v>2681</v>
      </c>
      <c r="C55" s="141" t="s">
        <v>2</v>
      </c>
      <c r="D55" s="139" t="s">
        <v>2569</v>
      </c>
    </row>
    <row r="56" spans="1:4" ht="60" x14ac:dyDescent="0.25">
      <c r="A56" s="136">
        <v>55</v>
      </c>
      <c r="B56" s="136" t="s">
        <v>2682</v>
      </c>
      <c r="C56" s="141" t="s">
        <v>2</v>
      </c>
      <c r="D56" s="138" t="s">
        <v>69</v>
      </c>
    </row>
    <row r="57" spans="1:4" ht="72" x14ac:dyDescent="0.25">
      <c r="A57" s="136">
        <v>56</v>
      </c>
      <c r="B57" s="136" t="s">
        <v>2683</v>
      </c>
      <c r="C57" s="141" t="s">
        <v>2</v>
      </c>
      <c r="D57" s="139" t="s">
        <v>70</v>
      </c>
    </row>
    <row r="58" spans="1:4" ht="48" x14ac:dyDescent="0.25">
      <c r="A58" s="136">
        <v>57</v>
      </c>
      <c r="B58" s="136" t="s">
        <v>2684</v>
      </c>
      <c r="C58" s="141" t="s">
        <v>2</v>
      </c>
      <c r="D58" s="138" t="s">
        <v>71</v>
      </c>
    </row>
    <row r="59" spans="1:4" ht="48" x14ac:dyDescent="0.25">
      <c r="A59" s="136">
        <v>58</v>
      </c>
      <c r="B59" s="136" t="s">
        <v>2685</v>
      </c>
      <c r="C59" s="141" t="s">
        <v>2</v>
      </c>
      <c r="D59" s="139" t="s">
        <v>72</v>
      </c>
    </row>
    <row r="60" spans="1:4" ht="36" x14ac:dyDescent="0.25">
      <c r="A60" s="136">
        <v>59</v>
      </c>
      <c r="B60" s="136" t="s">
        <v>2686</v>
      </c>
      <c r="C60" s="141" t="s">
        <v>2</v>
      </c>
      <c r="D60" s="138" t="s">
        <v>73</v>
      </c>
    </row>
    <row r="61" spans="1:4" ht="60" x14ac:dyDescent="0.25">
      <c r="A61" s="136">
        <v>60</v>
      </c>
      <c r="B61" s="136" t="s">
        <v>2687</v>
      </c>
      <c r="C61" s="141" t="s">
        <v>2</v>
      </c>
      <c r="D61" s="139" t="s">
        <v>74</v>
      </c>
    </row>
    <row r="62" spans="1:4" ht="36" x14ac:dyDescent="0.25">
      <c r="A62" s="136">
        <v>61</v>
      </c>
      <c r="B62" s="136" t="s">
        <v>2688</v>
      </c>
      <c r="C62" s="141" t="s">
        <v>2</v>
      </c>
      <c r="D62" s="138" t="s">
        <v>75</v>
      </c>
    </row>
    <row r="63" spans="1:4" ht="24" x14ac:dyDescent="0.25">
      <c r="A63" s="136">
        <v>62</v>
      </c>
      <c r="B63" s="136" t="s">
        <v>2689</v>
      </c>
      <c r="C63" s="141" t="s">
        <v>2</v>
      </c>
      <c r="D63" s="139" t="s">
        <v>76</v>
      </c>
    </row>
    <row r="64" spans="1:4" x14ac:dyDescent="0.25">
      <c r="A64" s="136">
        <v>63</v>
      </c>
      <c r="B64" s="136" t="s">
        <v>2690</v>
      </c>
      <c r="C64" s="141" t="s">
        <v>2</v>
      </c>
      <c r="D64" s="138" t="s">
        <v>77</v>
      </c>
    </row>
    <row r="65" spans="1:4" ht="24" x14ac:dyDescent="0.25">
      <c r="A65" s="136">
        <v>64</v>
      </c>
      <c r="B65" s="136" t="s">
        <v>2691</v>
      </c>
      <c r="C65" s="141" t="s">
        <v>2</v>
      </c>
      <c r="D65" s="139" t="s">
        <v>78</v>
      </c>
    </row>
    <row r="66" spans="1:4" ht="36" x14ac:dyDescent="0.25">
      <c r="A66" s="136">
        <v>65</v>
      </c>
      <c r="B66" s="136" t="s">
        <v>2692</v>
      </c>
      <c r="C66" s="141" t="s">
        <v>2</v>
      </c>
      <c r="D66" s="138" t="s">
        <v>79</v>
      </c>
    </row>
    <row r="67" spans="1:4" ht="36" x14ac:dyDescent="0.25">
      <c r="A67" s="136">
        <v>66</v>
      </c>
      <c r="B67" s="136" t="s">
        <v>2693</v>
      </c>
      <c r="C67" s="141" t="s">
        <v>2</v>
      </c>
      <c r="D67" s="139" t="s">
        <v>80</v>
      </c>
    </row>
    <row r="68" spans="1:4" ht="24" x14ac:dyDescent="0.25">
      <c r="A68" s="136">
        <v>67</v>
      </c>
      <c r="B68" s="136" t="s">
        <v>2694</v>
      </c>
      <c r="C68" s="141" t="s">
        <v>2</v>
      </c>
      <c r="D68" s="138" t="s">
        <v>81</v>
      </c>
    </row>
    <row r="69" spans="1:4" ht="24" x14ac:dyDescent="0.25">
      <c r="A69" s="136">
        <v>68</v>
      </c>
      <c r="B69" s="136" t="s">
        <v>2695</v>
      </c>
      <c r="C69" s="141" t="s">
        <v>2</v>
      </c>
      <c r="D69" s="139" t="s">
        <v>82</v>
      </c>
    </row>
    <row r="70" spans="1:4" ht="36" x14ac:dyDescent="0.25">
      <c r="A70" s="136">
        <v>69</v>
      </c>
      <c r="B70" s="136" t="s">
        <v>2696</v>
      </c>
      <c r="C70" s="141" t="s">
        <v>2</v>
      </c>
      <c r="D70" s="138" t="s">
        <v>83</v>
      </c>
    </row>
    <row r="71" spans="1:4" ht="24" x14ac:dyDescent="0.25">
      <c r="A71" s="136">
        <v>70</v>
      </c>
      <c r="B71" s="136" t="s">
        <v>2697</v>
      </c>
      <c r="C71" s="141" t="s">
        <v>2</v>
      </c>
      <c r="D71" s="139" t="s">
        <v>84</v>
      </c>
    </row>
    <row r="72" spans="1:4" ht="24" x14ac:dyDescent="0.25">
      <c r="A72" s="136">
        <v>71</v>
      </c>
      <c r="B72" s="136" t="s">
        <v>2698</v>
      </c>
      <c r="C72" s="141" t="s">
        <v>2</v>
      </c>
      <c r="D72" s="138" t="s">
        <v>85</v>
      </c>
    </row>
    <row r="73" spans="1:4" ht="36" x14ac:dyDescent="0.25">
      <c r="A73" s="136">
        <v>72</v>
      </c>
      <c r="B73" s="136" t="s">
        <v>2699</v>
      </c>
      <c r="C73" s="141" t="s">
        <v>2</v>
      </c>
      <c r="D73" s="139" t="s">
        <v>86</v>
      </c>
    </row>
    <row r="74" spans="1:4" ht="108" x14ac:dyDescent="0.25">
      <c r="A74" s="136">
        <v>73</v>
      </c>
      <c r="B74" s="136" t="s">
        <v>2700</v>
      </c>
      <c r="C74" s="142" t="s">
        <v>3</v>
      </c>
      <c r="D74" s="138" t="s">
        <v>87</v>
      </c>
    </row>
    <row r="75" spans="1:4" ht="36" x14ac:dyDescent="0.25">
      <c r="A75" s="136">
        <v>74</v>
      </c>
      <c r="B75" s="136" t="s">
        <v>2701</v>
      </c>
      <c r="C75" s="142" t="s">
        <v>3</v>
      </c>
      <c r="D75" s="139" t="s">
        <v>88</v>
      </c>
    </row>
    <row r="76" spans="1:4" ht="24" x14ac:dyDescent="0.25">
      <c r="A76" s="136">
        <v>75</v>
      </c>
      <c r="B76" s="136" t="s">
        <v>2702</v>
      </c>
      <c r="C76" s="142" t="s">
        <v>3</v>
      </c>
      <c r="D76" s="138" t="s">
        <v>89</v>
      </c>
    </row>
    <row r="77" spans="1:4" ht="48" x14ac:dyDescent="0.25">
      <c r="A77" s="136">
        <v>76</v>
      </c>
      <c r="B77" s="136" t="s">
        <v>2703</v>
      </c>
      <c r="C77" s="142" t="s">
        <v>3</v>
      </c>
      <c r="D77" s="139" t="s">
        <v>90</v>
      </c>
    </row>
    <row r="78" spans="1:4" ht="36" x14ac:dyDescent="0.25">
      <c r="A78" s="136">
        <v>77</v>
      </c>
      <c r="B78" s="136" t="s">
        <v>2704</v>
      </c>
      <c r="C78" s="142" t="s">
        <v>3</v>
      </c>
      <c r="D78" s="138" t="s">
        <v>91</v>
      </c>
    </row>
    <row r="79" spans="1:4" ht="36" x14ac:dyDescent="0.25">
      <c r="A79" s="136">
        <v>78</v>
      </c>
      <c r="B79" s="136" t="s">
        <v>2705</v>
      </c>
      <c r="C79" s="142" t="s">
        <v>3</v>
      </c>
      <c r="D79" s="139" t="s">
        <v>92</v>
      </c>
    </row>
    <row r="80" spans="1:4" ht="24" x14ac:dyDescent="0.25">
      <c r="A80" s="136">
        <v>79</v>
      </c>
      <c r="B80" s="136" t="s">
        <v>2706</v>
      </c>
      <c r="C80" s="142" t="s">
        <v>3</v>
      </c>
      <c r="D80" s="138" t="s">
        <v>93</v>
      </c>
    </row>
    <row r="81" spans="1:4" x14ac:dyDescent="0.25">
      <c r="A81" s="136">
        <v>80</v>
      </c>
      <c r="B81" s="136" t="s">
        <v>2707</v>
      </c>
      <c r="C81" s="142" t="s">
        <v>3</v>
      </c>
      <c r="D81" s="139" t="s">
        <v>94</v>
      </c>
    </row>
    <row r="82" spans="1:4" ht="24" x14ac:dyDescent="0.25">
      <c r="A82" s="136">
        <v>81</v>
      </c>
      <c r="B82" s="136" t="s">
        <v>2708</v>
      </c>
      <c r="C82" s="142" t="s">
        <v>3</v>
      </c>
      <c r="D82" s="138" t="s">
        <v>95</v>
      </c>
    </row>
    <row r="83" spans="1:4" ht="24" x14ac:dyDescent="0.25">
      <c r="A83" s="136">
        <v>82</v>
      </c>
      <c r="B83" s="136" t="s">
        <v>2709</v>
      </c>
      <c r="C83" s="142" t="s">
        <v>3</v>
      </c>
      <c r="D83" s="139" t="s">
        <v>96</v>
      </c>
    </row>
    <row r="84" spans="1:4" ht="24" x14ac:dyDescent="0.25">
      <c r="A84" s="136">
        <v>83</v>
      </c>
      <c r="B84" s="136" t="s">
        <v>2710</v>
      </c>
      <c r="C84" s="142" t="s">
        <v>3</v>
      </c>
      <c r="D84" s="138" t="s">
        <v>97</v>
      </c>
    </row>
    <row r="85" spans="1:4" ht="24" x14ac:dyDescent="0.25">
      <c r="A85" s="136">
        <v>84</v>
      </c>
      <c r="B85" s="136" t="s">
        <v>2711</v>
      </c>
      <c r="C85" s="142" t="s">
        <v>3</v>
      </c>
      <c r="D85" s="139" t="s">
        <v>98</v>
      </c>
    </row>
    <row r="86" spans="1:4" ht="36" x14ac:dyDescent="0.25">
      <c r="A86" s="136">
        <v>85</v>
      </c>
      <c r="B86" s="136" t="s">
        <v>2712</v>
      </c>
      <c r="C86" s="142" t="s">
        <v>3</v>
      </c>
      <c r="D86" s="138" t="s">
        <v>99</v>
      </c>
    </row>
    <row r="87" spans="1:4" ht="36" x14ac:dyDescent="0.25">
      <c r="A87" s="136">
        <v>86</v>
      </c>
      <c r="B87" s="136" t="s">
        <v>2713</v>
      </c>
      <c r="C87" s="142" t="s">
        <v>3</v>
      </c>
      <c r="D87" s="139" t="s">
        <v>100</v>
      </c>
    </row>
    <row r="88" spans="1:4" ht="36" x14ac:dyDescent="0.25">
      <c r="A88" s="136">
        <v>87</v>
      </c>
      <c r="B88" s="136" t="s">
        <v>2714</v>
      </c>
      <c r="C88" s="142" t="s">
        <v>3</v>
      </c>
      <c r="D88" s="138" t="s">
        <v>101</v>
      </c>
    </row>
    <row r="89" spans="1:4" ht="24" x14ac:dyDescent="0.25">
      <c r="A89" s="136">
        <v>88</v>
      </c>
      <c r="B89" s="136" t="s">
        <v>2715</v>
      </c>
      <c r="C89" s="142" t="s">
        <v>3</v>
      </c>
      <c r="D89" s="139" t="s">
        <v>102</v>
      </c>
    </row>
    <row r="90" spans="1:4" x14ac:dyDescent="0.25">
      <c r="A90" s="136">
        <v>89</v>
      </c>
      <c r="B90" s="136" t="s">
        <v>2716</v>
      </c>
      <c r="C90" s="142" t="s">
        <v>3</v>
      </c>
      <c r="D90" s="138" t="s">
        <v>103</v>
      </c>
    </row>
    <row r="91" spans="1:4" x14ac:dyDescent="0.25">
      <c r="A91" s="136">
        <v>90</v>
      </c>
      <c r="B91" s="136" t="s">
        <v>2717</v>
      </c>
      <c r="C91" s="142" t="s">
        <v>3</v>
      </c>
      <c r="D91" s="139" t="s">
        <v>104</v>
      </c>
    </row>
    <row r="92" spans="1:4" ht="24" x14ac:dyDescent="0.25">
      <c r="A92" s="136">
        <v>91</v>
      </c>
      <c r="B92" s="136" t="s">
        <v>2718</v>
      </c>
      <c r="C92" s="142" t="s">
        <v>3</v>
      </c>
      <c r="D92" s="138" t="s">
        <v>105</v>
      </c>
    </row>
    <row r="93" spans="1:4" ht="36" x14ac:dyDescent="0.25">
      <c r="A93" s="136">
        <v>92</v>
      </c>
      <c r="B93" s="136" t="s">
        <v>2719</v>
      </c>
      <c r="C93" s="142" t="s">
        <v>3</v>
      </c>
      <c r="D93" s="139" t="s">
        <v>106</v>
      </c>
    </row>
    <row r="94" spans="1:4" ht="36" x14ac:dyDescent="0.25">
      <c r="A94" s="136">
        <v>93</v>
      </c>
      <c r="B94" s="136" t="s">
        <v>2720</v>
      </c>
      <c r="C94" s="142" t="s">
        <v>3</v>
      </c>
      <c r="D94" s="138" t="s">
        <v>107</v>
      </c>
    </row>
    <row r="95" spans="1:4" ht="24" x14ac:dyDescent="0.25">
      <c r="A95" s="136">
        <v>94</v>
      </c>
      <c r="B95" s="136" t="s">
        <v>2721</v>
      </c>
      <c r="C95" s="142" t="s">
        <v>3</v>
      </c>
      <c r="D95" s="139" t="s">
        <v>108</v>
      </c>
    </row>
    <row r="96" spans="1:4" ht="36" x14ac:dyDescent="0.25">
      <c r="A96" s="136">
        <v>95</v>
      </c>
      <c r="B96" s="136" t="s">
        <v>2722</v>
      </c>
      <c r="C96" s="142" t="s">
        <v>3</v>
      </c>
      <c r="D96" s="138" t="s">
        <v>109</v>
      </c>
    </row>
    <row r="97" spans="1:4" ht="24" x14ac:dyDescent="0.25">
      <c r="A97" s="136">
        <v>96</v>
      </c>
      <c r="B97" s="136" t="s">
        <v>2723</v>
      </c>
      <c r="C97" s="142" t="s">
        <v>3</v>
      </c>
      <c r="D97" s="139" t="s">
        <v>110</v>
      </c>
    </row>
    <row r="98" spans="1:4" ht="24" x14ac:dyDescent="0.25">
      <c r="A98" s="136">
        <v>97</v>
      </c>
      <c r="B98" s="136" t="s">
        <v>2724</v>
      </c>
      <c r="C98" s="142" t="s">
        <v>3</v>
      </c>
      <c r="D98" s="138" t="s">
        <v>111</v>
      </c>
    </row>
    <row r="99" spans="1:4" ht="24" x14ac:dyDescent="0.25">
      <c r="A99" s="136">
        <v>98</v>
      </c>
      <c r="B99" s="136" t="s">
        <v>2725</v>
      </c>
      <c r="C99" s="142" t="s">
        <v>3</v>
      </c>
      <c r="D99" s="139" t="s">
        <v>112</v>
      </c>
    </row>
    <row r="100" spans="1:4" ht="24" x14ac:dyDescent="0.25">
      <c r="A100" s="136">
        <v>99</v>
      </c>
      <c r="B100" s="136" t="s">
        <v>2726</v>
      </c>
      <c r="C100" s="142" t="s">
        <v>3</v>
      </c>
      <c r="D100" s="138" t="s">
        <v>113</v>
      </c>
    </row>
    <row r="101" spans="1:4" ht="36" x14ac:dyDescent="0.25">
      <c r="A101" s="136">
        <v>100</v>
      </c>
      <c r="B101" s="136" t="s">
        <v>2727</v>
      </c>
      <c r="C101" s="142" t="s">
        <v>3</v>
      </c>
      <c r="D101" s="139" t="s">
        <v>114</v>
      </c>
    </row>
    <row r="102" spans="1:4" ht="24" x14ac:dyDescent="0.25">
      <c r="A102" s="136">
        <v>101</v>
      </c>
      <c r="B102" s="136" t="s">
        <v>2728</v>
      </c>
      <c r="C102" s="142" t="s">
        <v>3</v>
      </c>
      <c r="D102" s="138" t="s">
        <v>115</v>
      </c>
    </row>
    <row r="103" spans="1:4" ht="24" x14ac:dyDescent="0.25">
      <c r="A103" s="136">
        <v>102</v>
      </c>
      <c r="B103" s="136" t="s">
        <v>2729</v>
      </c>
      <c r="C103" s="142" t="s">
        <v>3</v>
      </c>
      <c r="D103" s="139" t="s">
        <v>116</v>
      </c>
    </row>
    <row r="104" spans="1:4" ht="36" x14ac:dyDescent="0.25">
      <c r="A104" s="136">
        <v>103</v>
      </c>
      <c r="B104" s="136" t="s">
        <v>2730</v>
      </c>
      <c r="C104" s="142" t="s">
        <v>3</v>
      </c>
      <c r="D104" s="138" t="s">
        <v>117</v>
      </c>
    </row>
    <row r="105" spans="1:4" ht="24" x14ac:dyDescent="0.25">
      <c r="A105" s="136">
        <v>104</v>
      </c>
      <c r="B105" s="136" t="s">
        <v>2731</v>
      </c>
      <c r="C105" s="142" t="s">
        <v>3</v>
      </c>
      <c r="D105" s="139" t="s">
        <v>118</v>
      </c>
    </row>
    <row r="106" spans="1:4" ht="24" x14ac:dyDescent="0.25">
      <c r="A106" s="136">
        <v>105</v>
      </c>
      <c r="B106" s="136" t="s">
        <v>299</v>
      </c>
      <c r="C106" s="142" t="s">
        <v>3</v>
      </c>
      <c r="D106" s="138" t="s">
        <v>119</v>
      </c>
    </row>
    <row r="107" spans="1:4" ht="24" x14ac:dyDescent="0.25">
      <c r="A107" s="136">
        <v>106</v>
      </c>
      <c r="B107" s="136" t="s">
        <v>2732</v>
      </c>
      <c r="C107" s="142" t="s">
        <v>3</v>
      </c>
      <c r="D107" s="139" t="s">
        <v>120</v>
      </c>
    </row>
    <row r="108" spans="1:4" ht="24" x14ac:dyDescent="0.25">
      <c r="A108" s="136">
        <v>107</v>
      </c>
      <c r="B108" s="136" t="s">
        <v>2733</v>
      </c>
      <c r="C108" s="142" t="s">
        <v>3</v>
      </c>
      <c r="D108" s="138" t="s">
        <v>121</v>
      </c>
    </row>
    <row r="109" spans="1:4" ht="24" x14ac:dyDescent="0.25">
      <c r="A109" s="136">
        <v>108</v>
      </c>
      <c r="B109" s="136" t="s">
        <v>2734</v>
      </c>
      <c r="C109" s="142" t="s">
        <v>3</v>
      </c>
      <c r="D109" s="139" t="s">
        <v>122</v>
      </c>
    </row>
    <row r="110" spans="1:4" ht="48" x14ac:dyDescent="0.25">
      <c r="A110" s="136">
        <v>109</v>
      </c>
      <c r="B110" s="136" t="s">
        <v>2735</v>
      </c>
      <c r="C110" s="142" t="s">
        <v>3</v>
      </c>
      <c r="D110" s="138" t="s">
        <v>123</v>
      </c>
    </row>
    <row r="111" spans="1:4" ht="24" x14ac:dyDescent="0.25">
      <c r="A111" s="136">
        <v>110</v>
      </c>
      <c r="B111" s="136" t="s">
        <v>2736</v>
      </c>
      <c r="C111" s="142" t="s">
        <v>3</v>
      </c>
      <c r="D111" s="139" t="s">
        <v>124</v>
      </c>
    </row>
    <row r="112" spans="1:4" ht="48" x14ac:dyDescent="0.25">
      <c r="A112" s="136">
        <v>111</v>
      </c>
      <c r="B112" s="136" t="s">
        <v>2737</v>
      </c>
      <c r="C112" s="142" t="s">
        <v>3</v>
      </c>
      <c r="D112" s="138" t="s">
        <v>125</v>
      </c>
    </row>
    <row r="113" spans="1:4" ht="24" x14ac:dyDescent="0.25">
      <c r="A113" s="136">
        <v>112</v>
      </c>
      <c r="B113" s="136" t="s">
        <v>2738</v>
      </c>
      <c r="C113" s="142" t="s">
        <v>3</v>
      </c>
      <c r="D113" s="139" t="s">
        <v>126</v>
      </c>
    </row>
    <row r="114" spans="1:4" ht="48" x14ac:dyDescent="0.25">
      <c r="A114" s="136">
        <v>113</v>
      </c>
      <c r="B114" s="136" t="s">
        <v>2739</v>
      </c>
      <c r="C114" s="142" t="s">
        <v>3</v>
      </c>
      <c r="D114" s="138" t="s">
        <v>127</v>
      </c>
    </row>
    <row r="115" spans="1:4" ht="24" x14ac:dyDescent="0.25">
      <c r="A115" s="136">
        <v>114</v>
      </c>
      <c r="B115" s="136" t="s">
        <v>2740</v>
      </c>
      <c r="C115" s="142" t="s">
        <v>3</v>
      </c>
      <c r="D115" s="139" t="s">
        <v>128</v>
      </c>
    </row>
    <row r="116" spans="1:4" ht="24" x14ac:dyDescent="0.25">
      <c r="A116" s="136">
        <v>115</v>
      </c>
      <c r="B116" s="136" t="s">
        <v>2741</v>
      </c>
      <c r="C116" s="142" t="s">
        <v>3</v>
      </c>
      <c r="D116" s="138" t="s">
        <v>129</v>
      </c>
    </row>
    <row r="117" spans="1:4" ht="36" x14ac:dyDescent="0.25">
      <c r="A117" s="136">
        <v>116</v>
      </c>
      <c r="B117" s="136" t="s">
        <v>2742</v>
      </c>
      <c r="C117" s="142" t="s">
        <v>3</v>
      </c>
      <c r="D117" s="139" t="s">
        <v>130</v>
      </c>
    </row>
    <row r="118" spans="1:4" ht="36" x14ac:dyDescent="0.25">
      <c r="A118" s="136">
        <v>117</v>
      </c>
      <c r="B118" s="136" t="s">
        <v>2743</v>
      </c>
      <c r="C118" s="142" t="s">
        <v>3</v>
      </c>
      <c r="D118" s="138" t="s">
        <v>131</v>
      </c>
    </row>
    <row r="119" spans="1:4" ht="36" x14ac:dyDescent="0.25">
      <c r="A119" s="136">
        <v>118</v>
      </c>
      <c r="B119" s="136" t="s">
        <v>2744</v>
      </c>
      <c r="C119" s="142" t="s">
        <v>3</v>
      </c>
      <c r="D119" s="139" t="s">
        <v>132</v>
      </c>
    </row>
    <row r="120" spans="1:4" ht="36" x14ac:dyDescent="0.25">
      <c r="A120" s="136">
        <v>119</v>
      </c>
      <c r="B120" s="136" t="s">
        <v>2745</v>
      </c>
      <c r="C120" s="142" t="s">
        <v>3</v>
      </c>
      <c r="D120" s="138" t="s">
        <v>133</v>
      </c>
    </row>
    <row r="121" spans="1:4" ht="36" x14ac:dyDescent="0.25">
      <c r="A121" s="136">
        <v>120</v>
      </c>
      <c r="B121" s="136" t="s">
        <v>2746</v>
      </c>
      <c r="C121" s="142" t="s">
        <v>3</v>
      </c>
      <c r="D121" s="139" t="s">
        <v>134</v>
      </c>
    </row>
    <row r="122" spans="1:4" ht="24" x14ac:dyDescent="0.25">
      <c r="A122" s="136">
        <v>121</v>
      </c>
      <c r="B122" s="136" t="s">
        <v>2747</v>
      </c>
      <c r="C122" s="142" t="s">
        <v>3</v>
      </c>
      <c r="D122" s="138" t="s">
        <v>135</v>
      </c>
    </row>
    <row r="123" spans="1:4" ht="36" x14ac:dyDescent="0.25">
      <c r="A123" s="136">
        <v>122</v>
      </c>
      <c r="B123" s="136" t="s">
        <v>2748</v>
      </c>
      <c r="C123" s="142" t="s">
        <v>3</v>
      </c>
      <c r="D123" s="139" t="s">
        <v>136</v>
      </c>
    </row>
    <row r="124" spans="1:4" ht="36" x14ac:dyDescent="0.25">
      <c r="A124" s="136">
        <v>123</v>
      </c>
      <c r="B124" s="136" t="s">
        <v>2749</v>
      </c>
      <c r="C124" s="142" t="s">
        <v>3</v>
      </c>
      <c r="D124" s="138" t="s">
        <v>137</v>
      </c>
    </row>
    <row r="125" spans="1:4" ht="24" x14ac:dyDescent="0.25">
      <c r="A125" s="136">
        <v>124</v>
      </c>
      <c r="B125" s="136" t="s">
        <v>2750</v>
      </c>
      <c r="C125" s="142" t="s">
        <v>3</v>
      </c>
      <c r="D125" s="139" t="s">
        <v>138</v>
      </c>
    </row>
    <row r="126" spans="1:4" ht="36" x14ac:dyDescent="0.25">
      <c r="A126" s="136">
        <v>125</v>
      </c>
      <c r="B126" s="136" t="s">
        <v>2751</v>
      </c>
      <c r="C126" s="142" t="s">
        <v>3</v>
      </c>
      <c r="D126" s="138" t="s">
        <v>139</v>
      </c>
    </row>
    <row r="127" spans="1:4" ht="24" x14ac:dyDescent="0.25">
      <c r="A127" s="136">
        <v>126</v>
      </c>
      <c r="B127" s="136" t="s">
        <v>2752</v>
      </c>
      <c r="C127" s="142" t="s">
        <v>3</v>
      </c>
      <c r="D127" s="139" t="s">
        <v>140</v>
      </c>
    </row>
    <row r="128" spans="1:4" ht="24" x14ac:dyDescent="0.25">
      <c r="A128" s="136">
        <v>127</v>
      </c>
      <c r="B128" s="136" t="s">
        <v>2753</v>
      </c>
      <c r="C128" s="142" t="s">
        <v>3</v>
      </c>
      <c r="D128" s="138" t="s">
        <v>141</v>
      </c>
    </row>
    <row r="129" spans="1:4" ht="24" x14ac:dyDescent="0.25">
      <c r="A129" s="136">
        <v>128</v>
      </c>
      <c r="B129" s="136" t="s">
        <v>2754</v>
      </c>
      <c r="C129" s="142" t="s">
        <v>3</v>
      </c>
      <c r="D129" s="139" t="s">
        <v>142</v>
      </c>
    </row>
    <row r="130" spans="1:4" ht="36" x14ac:dyDescent="0.25">
      <c r="A130" s="136">
        <v>129</v>
      </c>
      <c r="B130" s="136" t="s">
        <v>2755</v>
      </c>
      <c r="C130" s="142" t="s">
        <v>3</v>
      </c>
      <c r="D130" s="138" t="s">
        <v>143</v>
      </c>
    </row>
    <row r="131" spans="1:4" ht="24" x14ac:dyDescent="0.25">
      <c r="A131" s="136">
        <v>130</v>
      </c>
      <c r="B131" s="136" t="s">
        <v>2756</v>
      </c>
      <c r="C131" s="142" t="s">
        <v>3</v>
      </c>
      <c r="D131" s="139" t="s">
        <v>144</v>
      </c>
    </row>
    <row r="132" spans="1:4" ht="36" x14ac:dyDescent="0.25">
      <c r="A132" s="136">
        <v>131</v>
      </c>
      <c r="B132" s="136" t="s">
        <v>2757</v>
      </c>
      <c r="C132" s="142" t="s">
        <v>3</v>
      </c>
      <c r="D132" s="138" t="s">
        <v>145</v>
      </c>
    </row>
    <row r="133" spans="1:4" ht="36" x14ac:dyDescent="0.25">
      <c r="A133" s="136">
        <v>132</v>
      </c>
      <c r="B133" s="136" t="s">
        <v>2758</v>
      </c>
      <c r="C133" s="142" t="s">
        <v>3</v>
      </c>
      <c r="D133" s="139" t="s">
        <v>146</v>
      </c>
    </row>
    <row r="134" spans="1:4" ht="36" x14ac:dyDescent="0.25">
      <c r="A134" s="136">
        <v>133</v>
      </c>
      <c r="B134" s="136" t="s">
        <v>2759</v>
      </c>
      <c r="C134" s="142" t="s">
        <v>3</v>
      </c>
      <c r="D134" s="138" t="s">
        <v>147</v>
      </c>
    </row>
    <row r="135" spans="1:4" ht="36" x14ac:dyDescent="0.25">
      <c r="A135" s="136">
        <v>134</v>
      </c>
      <c r="B135" s="136" t="s">
        <v>2760</v>
      </c>
      <c r="C135" s="142" t="s">
        <v>3</v>
      </c>
      <c r="D135" s="139" t="s">
        <v>148</v>
      </c>
    </row>
    <row r="136" spans="1:4" ht="48" x14ac:dyDescent="0.25">
      <c r="A136" s="136">
        <v>135</v>
      </c>
      <c r="B136" s="136" t="s">
        <v>2761</v>
      </c>
      <c r="C136" s="142" t="s">
        <v>3</v>
      </c>
      <c r="D136" s="138" t="s">
        <v>149</v>
      </c>
    </row>
    <row r="137" spans="1:4" ht="36" x14ac:dyDescent="0.25">
      <c r="A137" s="136">
        <v>136</v>
      </c>
      <c r="B137" s="136" t="s">
        <v>2762</v>
      </c>
      <c r="C137" s="142" t="s">
        <v>3</v>
      </c>
      <c r="D137" s="139" t="s">
        <v>150</v>
      </c>
    </row>
    <row r="138" spans="1:4" ht="24" x14ac:dyDescent="0.25">
      <c r="A138" s="136">
        <v>137</v>
      </c>
      <c r="B138" s="136" t="s">
        <v>2763</v>
      </c>
      <c r="C138" s="142" t="s">
        <v>3</v>
      </c>
      <c r="D138" s="138" t="s">
        <v>151</v>
      </c>
    </row>
    <row r="139" spans="1:4" ht="24" x14ac:dyDescent="0.25">
      <c r="A139" s="136">
        <v>138</v>
      </c>
      <c r="B139" s="136" t="s">
        <v>2764</v>
      </c>
      <c r="C139" s="142" t="s">
        <v>3</v>
      </c>
      <c r="D139" s="139" t="s">
        <v>152</v>
      </c>
    </row>
    <row r="140" spans="1:4" ht="36" x14ac:dyDescent="0.25">
      <c r="A140" s="136">
        <v>139</v>
      </c>
      <c r="B140" s="136" t="s">
        <v>2765</v>
      </c>
      <c r="C140" s="142" t="s">
        <v>3</v>
      </c>
      <c r="D140" s="138" t="s">
        <v>153</v>
      </c>
    </row>
    <row r="141" spans="1:4" ht="24" x14ac:dyDescent="0.25">
      <c r="A141" s="136">
        <v>140</v>
      </c>
      <c r="B141" s="136" t="s">
        <v>2766</v>
      </c>
      <c r="C141" s="142" t="s">
        <v>3</v>
      </c>
      <c r="D141" s="139" t="s">
        <v>154</v>
      </c>
    </row>
    <row r="142" spans="1:4" ht="24" x14ac:dyDescent="0.25">
      <c r="A142" s="136">
        <v>141</v>
      </c>
      <c r="B142" s="136" t="s">
        <v>2767</v>
      </c>
      <c r="C142" s="142" t="s">
        <v>3</v>
      </c>
      <c r="D142" s="138" t="s">
        <v>155</v>
      </c>
    </row>
    <row r="143" spans="1:4" ht="24" x14ac:dyDescent="0.25">
      <c r="A143" s="136">
        <v>142</v>
      </c>
      <c r="B143" s="136" t="s">
        <v>2768</v>
      </c>
      <c r="C143" s="142" t="s">
        <v>3</v>
      </c>
      <c r="D143" s="139" t="s">
        <v>156</v>
      </c>
    </row>
    <row r="144" spans="1:4" ht="24" x14ac:dyDescent="0.25">
      <c r="A144" s="136">
        <v>143</v>
      </c>
      <c r="B144" s="136" t="s">
        <v>2769</v>
      </c>
      <c r="C144" s="142" t="s">
        <v>3</v>
      </c>
      <c r="D144" s="138" t="s">
        <v>157</v>
      </c>
    </row>
    <row r="145" spans="1:4" x14ac:dyDescent="0.25">
      <c r="A145" s="136">
        <v>144</v>
      </c>
      <c r="B145" s="136" t="s">
        <v>2770</v>
      </c>
      <c r="C145" s="143" t="s">
        <v>4</v>
      </c>
      <c r="D145" s="139" t="s">
        <v>158</v>
      </c>
    </row>
    <row r="146" spans="1:4" x14ac:dyDescent="0.25">
      <c r="A146" s="136">
        <v>145</v>
      </c>
      <c r="B146" s="136" t="s">
        <v>2771</v>
      </c>
      <c r="C146" s="143" t="s">
        <v>4</v>
      </c>
      <c r="D146" s="138" t="s">
        <v>2772</v>
      </c>
    </row>
    <row r="147" spans="1:4" x14ac:dyDescent="0.25">
      <c r="A147" s="136">
        <v>146</v>
      </c>
      <c r="B147" s="136" t="s">
        <v>2773</v>
      </c>
      <c r="C147" s="143" t="s">
        <v>4</v>
      </c>
      <c r="D147" s="139" t="s">
        <v>2774</v>
      </c>
    </row>
    <row r="148" spans="1:4" x14ac:dyDescent="0.25">
      <c r="A148" s="136">
        <v>147</v>
      </c>
      <c r="B148" s="136" t="s">
        <v>2775</v>
      </c>
      <c r="C148" s="143" t="s">
        <v>4</v>
      </c>
      <c r="D148" s="138" t="s">
        <v>2776</v>
      </c>
    </row>
    <row r="149" spans="1:4" x14ac:dyDescent="0.25">
      <c r="A149" s="136">
        <v>148</v>
      </c>
      <c r="B149" s="136" t="s">
        <v>2777</v>
      </c>
      <c r="C149" s="143" t="s">
        <v>4</v>
      </c>
      <c r="D149" s="139" t="s">
        <v>2778</v>
      </c>
    </row>
    <row r="150" spans="1:4" x14ac:dyDescent="0.25">
      <c r="A150" s="136">
        <v>149</v>
      </c>
      <c r="B150" s="136" t="s">
        <v>2779</v>
      </c>
      <c r="C150" s="143" t="s">
        <v>4</v>
      </c>
      <c r="D150" s="138" t="s">
        <v>2780</v>
      </c>
    </row>
    <row r="151" spans="1:4" x14ac:dyDescent="0.25">
      <c r="A151" s="136">
        <v>150</v>
      </c>
      <c r="B151" s="136" t="s">
        <v>2781</v>
      </c>
      <c r="C151" s="143" t="s">
        <v>4</v>
      </c>
      <c r="D151" s="139" t="s">
        <v>2782</v>
      </c>
    </row>
    <row r="152" spans="1:4" x14ac:dyDescent="0.25">
      <c r="A152" s="136">
        <v>151</v>
      </c>
      <c r="B152" s="136" t="s">
        <v>2783</v>
      </c>
      <c r="C152" s="143" t="s">
        <v>4</v>
      </c>
      <c r="D152" s="138" t="s">
        <v>2784</v>
      </c>
    </row>
    <row r="153" spans="1:4" x14ac:dyDescent="0.25">
      <c r="A153" s="136">
        <v>152</v>
      </c>
      <c r="B153" s="136" t="s">
        <v>2785</v>
      </c>
      <c r="C153" s="143" t="s">
        <v>4</v>
      </c>
      <c r="D153" s="139" t="s">
        <v>2786</v>
      </c>
    </row>
    <row r="154" spans="1:4" x14ac:dyDescent="0.25">
      <c r="A154" s="136">
        <v>153</v>
      </c>
      <c r="B154" s="136" t="s">
        <v>2787</v>
      </c>
      <c r="C154" s="143" t="s">
        <v>4</v>
      </c>
      <c r="D154" s="138" t="s">
        <v>2788</v>
      </c>
    </row>
    <row r="155" spans="1:4" x14ac:dyDescent="0.25">
      <c r="A155" s="136">
        <v>154</v>
      </c>
      <c r="B155" s="136" t="s">
        <v>2789</v>
      </c>
      <c r="C155" s="143" t="s">
        <v>4</v>
      </c>
      <c r="D155" s="139" t="s">
        <v>2790</v>
      </c>
    </row>
    <row r="156" spans="1:4" x14ac:dyDescent="0.25">
      <c r="A156" s="136">
        <v>155</v>
      </c>
      <c r="B156" s="136" t="s">
        <v>2791</v>
      </c>
      <c r="C156" s="143" t="s">
        <v>4</v>
      </c>
      <c r="D156" s="138" t="s">
        <v>2792</v>
      </c>
    </row>
    <row r="157" spans="1:4" x14ac:dyDescent="0.25">
      <c r="A157" s="136">
        <v>156</v>
      </c>
      <c r="B157" s="136" t="s">
        <v>2793</v>
      </c>
      <c r="C157" s="143" t="s">
        <v>4</v>
      </c>
      <c r="D157" s="139" t="s">
        <v>2794</v>
      </c>
    </row>
    <row r="158" spans="1:4" x14ac:dyDescent="0.25">
      <c r="A158" s="136">
        <v>157</v>
      </c>
      <c r="B158" s="136" t="s">
        <v>2795</v>
      </c>
      <c r="C158" s="143" t="s">
        <v>4</v>
      </c>
      <c r="D158" s="138" t="s">
        <v>2796</v>
      </c>
    </row>
    <row r="159" spans="1:4" x14ac:dyDescent="0.25">
      <c r="A159" s="136">
        <v>158</v>
      </c>
      <c r="B159" s="136" t="s">
        <v>2797</v>
      </c>
      <c r="C159" s="143" t="s">
        <v>4</v>
      </c>
      <c r="D159" s="139" t="s">
        <v>2798</v>
      </c>
    </row>
    <row r="160" spans="1:4" x14ac:dyDescent="0.25">
      <c r="A160" s="136">
        <v>159</v>
      </c>
      <c r="B160" s="136" t="s">
        <v>2799</v>
      </c>
      <c r="C160" s="143" t="s">
        <v>4</v>
      </c>
      <c r="D160" s="138" t="s">
        <v>2800</v>
      </c>
    </row>
    <row r="161" spans="1:4" x14ac:dyDescent="0.25">
      <c r="A161" s="136">
        <v>160</v>
      </c>
      <c r="B161" s="136" t="s">
        <v>2801</v>
      </c>
      <c r="C161" s="143" t="s">
        <v>4</v>
      </c>
      <c r="D161" s="139" t="s">
        <v>2802</v>
      </c>
    </row>
    <row r="162" spans="1:4" x14ac:dyDescent="0.25">
      <c r="A162" s="136">
        <v>161</v>
      </c>
      <c r="B162" s="136" t="s">
        <v>2803</v>
      </c>
      <c r="C162" s="143" t="s">
        <v>4</v>
      </c>
      <c r="D162" s="138" t="s">
        <v>2804</v>
      </c>
    </row>
    <row r="163" spans="1:4" x14ac:dyDescent="0.25">
      <c r="A163" s="136">
        <v>162</v>
      </c>
      <c r="B163" s="136" t="s">
        <v>2805</v>
      </c>
      <c r="C163" s="143" t="s">
        <v>4</v>
      </c>
      <c r="D163" s="139" t="s">
        <v>2806</v>
      </c>
    </row>
    <row r="164" spans="1:4" x14ac:dyDescent="0.25">
      <c r="A164" s="136">
        <v>163</v>
      </c>
      <c r="B164" s="136" t="s">
        <v>2807</v>
      </c>
      <c r="C164" s="143" t="s">
        <v>4</v>
      </c>
      <c r="D164" s="138" t="s">
        <v>2808</v>
      </c>
    </row>
    <row r="165" spans="1:4" x14ac:dyDescent="0.25">
      <c r="A165" s="136">
        <v>164</v>
      </c>
      <c r="B165" s="136" t="s">
        <v>2809</v>
      </c>
      <c r="C165" s="143" t="s">
        <v>4</v>
      </c>
      <c r="D165" s="139" t="s">
        <v>2810</v>
      </c>
    </row>
    <row r="166" spans="1:4" x14ac:dyDescent="0.25">
      <c r="A166" s="136">
        <v>165</v>
      </c>
      <c r="B166" s="136" t="s">
        <v>2811</v>
      </c>
      <c r="C166" s="143" t="s">
        <v>4</v>
      </c>
      <c r="D166" s="138" t="s">
        <v>2812</v>
      </c>
    </row>
    <row r="167" spans="1:4" x14ac:dyDescent="0.25">
      <c r="A167" s="136">
        <v>166</v>
      </c>
      <c r="B167" s="136" t="s">
        <v>2813</v>
      </c>
      <c r="C167" s="143" t="s">
        <v>4</v>
      </c>
      <c r="D167" s="139" t="s">
        <v>2814</v>
      </c>
    </row>
    <row r="168" spans="1:4" x14ac:dyDescent="0.25">
      <c r="A168" s="136">
        <v>167</v>
      </c>
      <c r="B168" s="136" t="s">
        <v>2815</v>
      </c>
      <c r="C168" s="143" t="s">
        <v>4</v>
      </c>
      <c r="D168" s="138" t="s">
        <v>2816</v>
      </c>
    </row>
    <row r="169" spans="1:4" x14ac:dyDescent="0.25">
      <c r="A169" s="136">
        <v>168</v>
      </c>
      <c r="B169" s="136" t="s">
        <v>2817</v>
      </c>
      <c r="C169" s="143" t="s">
        <v>4</v>
      </c>
      <c r="D169" s="139" t="s">
        <v>2818</v>
      </c>
    </row>
    <row r="170" spans="1:4" x14ac:dyDescent="0.25">
      <c r="A170" s="136">
        <v>169</v>
      </c>
      <c r="B170" s="136" t="s">
        <v>2819</v>
      </c>
      <c r="C170" s="143" t="s">
        <v>4</v>
      </c>
      <c r="D170" s="138" t="s">
        <v>2820</v>
      </c>
    </row>
    <row r="171" spans="1:4" x14ac:dyDescent="0.25">
      <c r="A171" s="136">
        <v>170</v>
      </c>
      <c r="B171" s="136" t="s">
        <v>2821</v>
      </c>
      <c r="C171" s="143" t="s">
        <v>4</v>
      </c>
      <c r="D171" s="139" t="s">
        <v>2822</v>
      </c>
    </row>
    <row r="172" spans="1:4" x14ac:dyDescent="0.25">
      <c r="A172" s="136">
        <v>171</v>
      </c>
      <c r="B172" s="136" t="s">
        <v>2823</v>
      </c>
      <c r="C172" s="143" t="s">
        <v>4</v>
      </c>
      <c r="D172" s="138" t="s">
        <v>2824</v>
      </c>
    </row>
    <row r="173" spans="1:4" x14ac:dyDescent="0.25">
      <c r="A173" s="136">
        <v>172</v>
      </c>
      <c r="B173" s="136" t="s">
        <v>2825</v>
      </c>
      <c r="C173" s="143" t="s">
        <v>4</v>
      </c>
      <c r="D173" s="139" t="s">
        <v>2826</v>
      </c>
    </row>
    <row r="174" spans="1:4" x14ac:dyDescent="0.25">
      <c r="A174" s="136">
        <v>173</v>
      </c>
      <c r="B174" s="136" t="s">
        <v>2827</v>
      </c>
      <c r="C174" s="143" t="s">
        <v>4</v>
      </c>
      <c r="D174" s="138" t="s">
        <v>2828</v>
      </c>
    </row>
    <row r="175" spans="1:4" x14ac:dyDescent="0.25">
      <c r="A175" s="136">
        <v>174</v>
      </c>
      <c r="B175" s="136" t="s">
        <v>2829</v>
      </c>
      <c r="C175" s="143" t="s">
        <v>4</v>
      </c>
      <c r="D175" s="139" t="s">
        <v>2830</v>
      </c>
    </row>
    <row r="176" spans="1:4" ht="24" x14ac:dyDescent="0.25">
      <c r="A176" s="136">
        <v>175</v>
      </c>
      <c r="B176" s="136" t="s">
        <v>2831</v>
      </c>
      <c r="C176" s="143" t="s">
        <v>4</v>
      </c>
      <c r="D176" s="138" t="s">
        <v>189</v>
      </c>
    </row>
    <row r="177" spans="1:4" ht="72" x14ac:dyDescent="0.25">
      <c r="A177" s="136">
        <v>176</v>
      </c>
      <c r="B177" s="136" t="s">
        <v>2832</v>
      </c>
      <c r="C177" s="143" t="s">
        <v>4</v>
      </c>
      <c r="D177" s="139" t="s">
        <v>190</v>
      </c>
    </row>
    <row r="178" spans="1:4" ht="84" x14ac:dyDescent="0.25">
      <c r="A178" s="136">
        <v>177</v>
      </c>
      <c r="B178" s="136" t="s">
        <v>2833</v>
      </c>
      <c r="C178" s="143" t="s">
        <v>4</v>
      </c>
      <c r="D178" s="138" t="s">
        <v>191</v>
      </c>
    </row>
    <row r="179" spans="1:4" ht="60" x14ac:dyDescent="0.25">
      <c r="A179" s="136">
        <v>178</v>
      </c>
      <c r="B179" s="136" t="s">
        <v>2834</v>
      </c>
      <c r="C179" s="143" t="s">
        <v>4</v>
      </c>
      <c r="D179" s="139" t="s">
        <v>192</v>
      </c>
    </row>
    <row r="180" spans="1:4" ht="60" x14ac:dyDescent="0.25">
      <c r="A180" s="136">
        <v>179</v>
      </c>
      <c r="B180" s="136" t="s">
        <v>2835</v>
      </c>
      <c r="C180" s="143" t="s">
        <v>4</v>
      </c>
      <c r="D180" s="138" t="s">
        <v>193</v>
      </c>
    </row>
    <row r="181" spans="1:4" ht="60" x14ac:dyDescent="0.25">
      <c r="A181" s="136">
        <v>180</v>
      </c>
      <c r="B181" s="136" t="s">
        <v>2836</v>
      </c>
      <c r="C181" s="143" t="s">
        <v>4</v>
      </c>
      <c r="D181" s="139" t="s">
        <v>194</v>
      </c>
    </row>
    <row r="182" spans="1:4" ht="48" x14ac:dyDescent="0.25">
      <c r="A182" s="136">
        <v>181</v>
      </c>
      <c r="B182" s="136" t="s">
        <v>2837</v>
      </c>
      <c r="C182" s="143" t="s">
        <v>4</v>
      </c>
      <c r="D182" s="138" t="s">
        <v>195</v>
      </c>
    </row>
    <row r="183" spans="1:4" ht="36" x14ac:dyDescent="0.25">
      <c r="A183" s="136">
        <v>182</v>
      </c>
      <c r="B183" s="136" t="s">
        <v>2838</v>
      </c>
      <c r="C183" s="143" t="s">
        <v>4</v>
      </c>
      <c r="D183" s="139" t="s">
        <v>196</v>
      </c>
    </row>
    <row r="184" spans="1:4" ht="24" x14ac:dyDescent="0.25">
      <c r="A184" s="136">
        <v>183</v>
      </c>
      <c r="B184" s="136" t="s">
        <v>2839</v>
      </c>
      <c r="C184" s="143" t="s">
        <v>4</v>
      </c>
      <c r="D184" s="138" t="s">
        <v>197</v>
      </c>
    </row>
    <row r="185" spans="1:4" ht="24" x14ac:dyDescent="0.25">
      <c r="A185" s="136">
        <v>184</v>
      </c>
      <c r="B185" s="136" t="s">
        <v>2840</v>
      </c>
      <c r="C185" s="143" t="s">
        <v>4</v>
      </c>
      <c r="D185" s="139" t="s">
        <v>198</v>
      </c>
    </row>
    <row r="186" spans="1:4" ht="24" x14ac:dyDescent="0.25">
      <c r="A186" s="136">
        <v>185</v>
      </c>
      <c r="B186" s="136" t="s">
        <v>2841</v>
      </c>
      <c r="C186" s="143" t="s">
        <v>4</v>
      </c>
      <c r="D186" s="138" t="s">
        <v>199</v>
      </c>
    </row>
    <row r="187" spans="1:4" ht="24" x14ac:dyDescent="0.25">
      <c r="A187" s="136">
        <v>186</v>
      </c>
      <c r="B187" s="136" t="s">
        <v>2842</v>
      </c>
      <c r="C187" s="143" t="s">
        <v>4</v>
      </c>
      <c r="D187" s="139" t="s">
        <v>200</v>
      </c>
    </row>
    <row r="188" spans="1:4" ht="36" x14ac:dyDescent="0.25">
      <c r="A188" s="136">
        <v>187</v>
      </c>
      <c r="B188" s="136" t="s">
        <v>2843</v>
      </c>
      <c r="C188" s="143" t="s">
        <v>4</v>
      </c>
      <c r="D188" s="138" t="s">
        <v>201</v>
      </c>
    </row>
    <row r="189" spans="1:4" ht="48" x14ac:dyDescent="0.25">
      <c r="A189" s="136">
        <v>188</v>
      </c>
      <c r="B189" s="136" t="s">
        <v>2844</v>
      </c>
      <c r="C189" s="143" t="s">
        <v>4</v>
      </c>
      <c r="D189" s="139" t="s">
        <v>202</v>
      </c>
    </row>
    <row r="190" spans="1:4" ht="36" x14ac:dyDescent="0.25">
      <c r="A190" s="136">
        <v>189</v>
      </c>
      <c r="B190" s="136" t="s">
        <v>2845</v>
      </c>
      <c r="C190" s="143" t="s">
        <v>4</v>
      </c>
      <c r="D190" s="138" t="s">
        <v>203</v>
      </c>
    </row>
    <row r="191" spans="1:4" ht="36" x14ac:dyDescent="0.25">
      <c r="A191" s="136">
        <v>190</v>
      </c>
      <c r="B191" s="136" t="s">
        <v>2846</v>
      </c>
      <c r="C191" s="143" t="s">
        <v>4</v>
      </c>
      <c r="D191" s="139" t="s">
        <v>204</v>
      </c>
    </row>
    <row r="192" spans="1:4" ht="72" x14ac:dyDescent="0.25">
      <c r="A192" s="136">
        <v>191</v>
      </c>
      <c r="B192" s="136" t="s">
        <v>2847</v>
      </c>
      <c r="C192" s="143" t="s">
        <v>4</v>
      </c>
      <c r="D192" s="138" t="s">
        <v>205</v>
      </c>
    </row>
    <row r="193" spans="1:4" ht="84" x14ac:dyDescent="0.25">
      <c r="A193" s="136">
        <v>192</v>
      </c>
      <c r="B193" s="136" t="s">
        <v>2848</v>
      </c>
      <c r="C193" s="143" t="s">
        <v>4</v>
      </c>
      <c r="D193" s="139" t="s">
        <v>206</v>
      </c>
    </row>
    <row r="194" spans="1:4" ht="84" x14ac:dyDescent="0.25">
      <c r="A194" s="136">
        <v>193</v>
      </c>
      <c r="B194" s="136" t="s">
        <v>2849</v>
      </c>
      <c r="C194" s="143" t="s">
        <v>4</v>
      </c>
      <c r="D194" s="138" t="s">
        <v>207</v>
      </c>
    </row>
    <row r="195" spans="1:4" ht="96" x14ac:dyDescent="0.25">
      <c r="A195" s="136">
        <v>194</v>
      </c>
      <c r="B195" s="136" t="s">
        <v>2850</v>
      </c>
      <c r="C195" s="144" t="s">
        <v>5</v>
      </c>
      <c r="D195" s="139" t="s">
        <v>208</v>
      </c>
    </row>
    <row r="196" spans="1:4" ht="144" x14ac:dyDescent="0.25">
      <c r="A196" s="136">
        <v>195</v>
      </c>
      <c r="B196" s="136" t="s">
        <v>2851</v>
      </c>
      <c r="C196" s="144" t="s">
        <v>5</v>
      </c>
      <c r="D196" s="138" t="s">
        <v>209</v>
      </c>
    </row>
    <row r="197" spans="1:4" ht="60" x14ac:dyDescent="0.25">
      <c r="A197" s="136">
        <v>196</v>
      </c>
      <c r="B197" s="136" t="s">
        <v>2852</v>
      </c>
      <c r="C197" s="144" t="s">
        <v>5</v>
      </c>
      <c r="D197" s="139" t="s">
        <v>210</v>
      </c>
    </row>
    <row r="198" spans="1:4" ht="120" x14ac:dyDescent="0.25">
      <c r="A198" s="136">
        <v>197</v>
      </c>
      <c r="B198" s="136" t="s">
        <v>2853</v>
      </c>
      <c r="C198" s="144" t="s">
        <v>5</v>
      </c>
      <c r="D198" s="138" t="s">
        <v>2551</v>
      </c>
    </row>
    <row r="199" spans="1:4" ht="96" x14ac:dyDescent="0.25">
      <c r="A199" s="136">
        <v>198</v>
      </c>
      <c r="B199" s="136" t="s">
        <v>2854</v>
      </c>
      <c r="C199" s="144" t="s">
        <v>5</v>
      </c>
      <c r="D199" s="139" t="s">
        <v>212</v>
      </c>
    </row>
    <row r="200" spans="1:4" ht="24" x14ac:dyDescent="0.25">
      <c r="A200" s="136">
        <v>199</v>
      </c>
      <c r="B200" s="136" t="s">
        <v>2855</v>
      </c>
      <c r="C200" s="144" t="s">
        <v>5</v>
      </c>
      <c r="D200" s="138" t="s">
        <v>213</v>
      </c>
    </row>
    <row r="201" spans="1:4" ht="24" x14ac:dyDescent="0.25">
      <c r="A201" s="136">
        <v>200</v>
      </c>
      <c r="B201" s="136" t="s">
        <v>2856</v>
      </c>
      <c r="C201" s="144" t="s">
        <v>5</v>
      </c>
      <c r="D201" s="139" t="s">
        <v>214</v>
      </c>
    </row>
    <row r="202" spans="1:4" ht="60" x14ac:dyDescent="0.25">
      <c r="A202" s="136">
        <v>201</v>
      </c>
      <c r="B202" s="136" t="s">
        <v>2857</v>
      </c>
      <c r="C202" s="144" t="s">
        <v>5</v>
      </c>
      <c r="D202" s="138" t="s">
        <v>2621</v>
      </c>
    </row>
    <row r="203" spans="1:4" ht="24" x14ac:dyDescent="0.25">
      <c r="A203" s="136">
        <v>202</v>
      </c>
      <c r="B203" s="136" t="s">
        <v>2858</v>
      </c>
      <c r="C203" s="144" t="s">
        <v>5</v>
      </c>
      <c r="D203" s="139" t="s">
        <v>216</v>
      </c>
    </row>
    <row r="204" spans="1:4" ht="36" x14ac:dyDescent="0.25">
      <c r="A204" s="136">
        <v>203</v>
      </c>
      <c r="B204" s="136" t="s">
        <v>2859</v>
      </c>
      <c r="C204" s="144" t="s">
        <v>5</v>
      </c>
      <c r="D204" s="138" t="s">
        <v>217</v>
      </c>
    </row>
    <row r="205" spans="1:4" ht="36" x14ac:dyDescent="0.25">
      <c r="A205" s="136">
        <v>204</v>
      </c>
      <c r="B205" s="136" t="s">
        <v>2860</v>
      </c>
      <c r="C205" s="144" t="s">
        <v>5</v>
      </c>
      <c r="D205" s="139" t="s">
        <v>218</v>
      </c>
    </row>
    <row r="206" spans="1:4" ht="24" x14ac:dyDescent="0.25">
      <c r="A206" s="136">
        <v>205</v>
      </c>
      <c r="B206" s="136" t="s">
        <v>2861</v>
      </c>
      <c r="C206" s="144" t="s">
        <v>5</v>
      </c>
      <c r="D206" s="138" t="s">
        <v>2607</v>
      </c>
    </row>
    <row r="207" spans="1:4" ht="36" x14ac:dyDescent="0.25">
      <c r="A207" s="136">
        <v>206</v>
      </c>
      <c r="B207" s="136" t="s">
        <v>2862</v>
      </c>
      <c r="C207" s="144" t="s">
        <v>5</v>
      </c>
      <c r="D207" s="139" t="s">
        <v>2608</v>
      </c>
    </row>
    <row r="208" spans="1:4" ht="24" x14ac:dyDescent="0.25">
      <c r="A208" s="136">
        <v>207</v>
      </c>
      <c r="B208" s="136" t="s">
        <v>2863</v>
      </c>
      <c r="C208" s="144" t="s">
        <v>5</v>
      </c>
      <c r="D208" s="138" t="s">
        <v>221</v>
      </c>
    </row>
    <row r="209" spans="1:4" ht="48" x14ac:dyDescent="0.25">
      <c r="A209" s="136">
        <v>208</v>
      </c>
      <c r="B209" s="136" t="s">
        <v>2864</v>
      </c>
      <c r="C209" s="144" t="s">
        <v>5</v>
      </c>
      <c r="D209" s="139" t="s">
        <v>222</v>
      </c>
    </row>
    <row r="210" spans="1:4" ht="60" x14ac:dyDescent="0.25">
      <c r="A210" s="136">
        <v>209</v>
      </c>
      <c r="B210" s="136" t="s">
        <v>2865</v>
      </c>
      <c r="C210" s="144" t="s">
        <v>5</v>
      </c>
      <c r="D210" s="138" t="s">
        <v>2546</v>
      </c>
    </row>
    <row r="211" spans="1:4" ht="36" x14ac:dyDescent="0.25">
      <c r="A211" s="136">
        <v>210</v>
      </c>
      <c r="B211" s="136" t="s">
        <v>2866</v>
      </c>
      <c r="C211" s="144" t="s">
        <v>5</v>
      </c>
      <c r="D211" s="139" t="s">
        <v>224</v>
      </c>
    </row>
    <row r="212" spans="1:4" ht="60" x14ac:dyDescent="0.25">
      <c r="A212" s="136">
        <v>211</v>
      </c>
      <c r="B212" s="136" t="s">
        <v>2867</v>
      </c>
      <c r="C212" s="144" t="s">
        <v>5</v>
      </c>
      <c r="D212" s="138" t="s">
        <v>225</v>
      </c>
    </row>
    <row r="213" spans="1:4" ht="60" x14ac:dyDescent="0.25">
      <c r="A213" s="136">
        <v>212</v>
      </c>
      <c r="B213" s="136" t="s">
        <v>2868</v>
      </c>
      <c r="C213" s="144" t="s">
        <v>5</v>
      </c>
      <c r="D213" s="139" t="s">
        <v>226</v>
      </c>
    </row>
    <row r="214" spans="1:4" ht="120" x14ac:dyDescent="0.25">
      <c r="A214" s="136">
        <v>213</v>
      </c>
      <c r="B214" s="136" t="s">
        <v>2869</v>
      </c>
      <c r="C214" s="144" t="s">
        <v>5</v>
      </c>
      <c r="D214" s="138" t="s">
        <v>227</v>
      </c>
    </row>
    <row r="215" spans="1:4" ht="48" x14ac:dyDescent="0.25">
      <c r="A215" s="136">
        <v>214</v>
      </c>
      <c r="B215" s="136" t="s">
        <v>2870</v>
      </c>
      <c r="C215" s="144" t="s">
        <v>5</v>
      </c>
      <c r="D215" s="139" t="s">
        <v>228</v>
      </c>
    </row>
    <row r="216" spans="1:4" ht="36" x14ac:dyDescent="0.25">
      <c r="A216" s="136">
        <v>215</v>
      </c>
      <c r="B216" s="136" t="s">
        <v>2871</v>
      </c>
      <c r="C216" s="144" t="s">
        <v>5</v>
      </c>
      <c r="D216" s="138" t="s">
        <v>229</v>
      </c>
    </row>
    <row r="217" spans="1:4" ht="36" x14ac:dyDescent="0.25">
      <c r="A217" s="136">
        <v>216</v>
      </c>
      <c r="B217" s="136" t="s">
        <v>2872</v>
      </c>
      <c r="C217" s="144" t="s">
        <v>5</v>
      </c>
      <c r="D217" s="139" t="s">
        <v>230</v>
      </c>
    </row>
    <row r="218" spans="1:4" ht="84" x14ac:dyDescent="0.25">
      <c r="A218" s="136">
        <v>217</v>
      </c>
      <c r="B218" s="136" t="s">
        <v>2873</v>
      </c>
      <c r="C218" s="144" t="s">
        <v>5</v>
      </c>
      <c r="D218" s="138" t="s">
        <v>231</v>
      </c>
    </row>
    <row r="219" spans="1:4" ht="36" x14ac:dyDescent="0.25">
      <c r="A219" s="136">
        <v>218</v>
      </c>
      <c r="B219" s="136" t="s">
        <v>2874</v>
      </c>
      <c r="C219" s="144" t="s">
        <v>5</v>
      </c>
      <c r="D219" s="139" t="s">
        <v>2566</v>
      </c>
    </row>
    <row r="220" spans="1:4" ht="84" x14ac:dyDescent="0.25">
      <c r="A220" s="136">
        <v>219</v>
      </c>
      <c r="B220" s="136" t="s">
        <v>2875</v>
      </c>
      <c r="C220" s="144" t="s">
        <v>5</v>
      </c>
      <c r="D220" s="138" t="s">
        <v>233</v>
      </c>
    </row>
    <row r="221" spans="1:4" ht="60" x14ac:dyDescent="0.25">
      <c r="A221" s="136">
        <v>220</v>
      </c>
      <c r="B221" s="136" t="s">
        <v>2876</v>
      </c>
      <c r="C221" s="144" t="s">
        <v>5</v>
      </c>
      <c r="D221" s="139" t="s">
        <v>234</v>
      </c>
    </row>
    <row r="222" spans="1:4" ht="60" x14ac:dyDescent="0.25">
      <c r="A222" s="136">
        <v>221</v>
      </c>
      <c r="B222" s="136" t="s">
        <v>2877</v>
      </c>
      <c r="C222" s="144" t="s">
        <v>5</v>
      </c>
      <c r="D222" s="138" t="s">
        <v>235</v>
      </c>
    </row>
    <row r="223" spans="1:4" ht="96" x14ac:dyDescent="0.25">
      <c r="A223" s="136">
        <v>222</v>
      </c>
      <c r="B223" s="136" t="s">
        <v>2878</v>
      </c>
      <c r="C223" s="144" t="s">
        <v>5</v>
      </c>
      <c r="D223" s="139" t="s">
        <v>236</v>
      </c>
    </row>
    <row r="224" spans="1:4" ht="48" x14ac:dyDescent="0.25">
      <c r="A224" s="136">
        <v>223</v>
      </c>
      <c r="B224" s="136" t="s">
        <v>2879</v>
      </c>
      <c r="C224" s="144" t="s">
        <v>5</v>
      </c>
      <c r="D224" s="138" t="s">
        <v>237</v>
      </c>
    </row>
    <row r="225" spans="1:4" ht="48" x14ac:dyDescent="0.25">
      <c r="A225" s="136">
        <v>224</v>
      </c>
      <c r="B225" s="136" t="s">
        <v>2880</v>
      </c>
      <c r="C225" s="144" t="s">
        <v>5</v>
      </c>
      <c r="D225" s="139" t="s">
        <v>238</v>
      </c>
    </row>
    <row r="226" spans="1:4" ht="36" x14ac:dyDescent="0.25">
      <c r="A226" s="136">
        <v>225</v>
      </c>
      <c r="B226" s="136" t="s">
        <v>2881</v>
      </c>
      <c r="C226" s="144" t="s">
        <v>5</v>
      </c>
      <c r="D226" s="138" t="s">
        <v>239</v>
      </c>
    </row>
    <row r="227" spans="1:4" ht="48" x14ac:dyDescent="0.25">
      <c r="A227" s="136">
        <v>226</v>
      </c>
      <c r="B227" s="136" t="s">
        <v>2882</v>
      </c>
      <c r="C227" s="144" t="s">
        <v>5</v>
      </c>
      <c r="D227" s="139" t="s">
        <v>240</v>
      </c>
    </row>
    <row r="228" spans="1:4" ht="36" x14ac:dyDescent="0.25">
      <c r="A228" s="136">
        <v>227</v>
      </c>
      <c r="B228" s="136" t="s">
        <v>2883</v>
      </c>
      <c r="C228" s="144" t="s">
        <v>5</v>
      </c>
      <c r="D228" s="138" t="s">
        <v>241</v>
      </c>
    </row>
    <row r="229" spans="1:4" ht="60" x14ac:dyDescent="0.25">
      <c r="A229" s="136">
        <v>228</v>
      </c>
      <c r="B229" s="136" t="s">
        <v>2884</v>
      </c>
      <c r="C229" s="144" t="s">
        <v>5</v>
      </c>
      <c r="D229" s="139" t="s">
        <v>242</v>
      </c>
    </row>
    <row r="230" spans="1:4" x14ac:dyDescent="0.25">
      <c r="A230" s="136">
        <v>229</v>
      </c>
      <c r="B230" s="136" t="s">
        <v>2885</v>
      </c>
      <c r="C230" s="144" t="s">
        <v>5</v>
      </c>
      <c r="D230" s="138" t="s">
        <v>2609</v>
      </c>
    </row>
    <row r="231" spans="1:4" x14ac:dyDescent="0.25">
      <c r="A231" s="136">
        <v>230</v>
      </c>
      <c r="B231" s="136" t="s">
        <v>2886</v>
      </c>
      <c r="C231" s="144" t="s">
        <v>5</v>
      </c>
      <c r="D231" s="139" t="s">
        <v>244</v>
      </c>
    </row>
    <row r="232" spans="1:4" ht="24" x14ac:dyDescent="0.25">
      <c r="A232" s="136">
        <v>231</v>
      </c>
      <c r="B232" s="136" t="s">
        <v>2887</v>
      </c>
      <c r="C232" s="144" t="s">
        <v>5</v>
      </c>
      <c r="D232" s="138" t="s">
        <v>245</v>
      </c>
    </row>
    <row r="233" spans="1:4" ht="36" x14ac:dyDescent="0.25">
      <c r="A233" s="136">
        <v>232</v>
      </c>
      <c r="B233" s="136" t="s">
        <v>2888</v>
      </c>
      <c r="C233" s="144" t="s">
        <v>5</v>
      </c>
      <c r="D233" s="139" t="s">
        <v>246</v>
      </c>
    </row>
    <row r="234" spans="1:4" ht="36" x14ac:dyDescent="0.25">
      <c r="A234" s="136">
        <v>233</v>
      </c>
      <c r="B234" s="136" t="s">
        <v>2889</v>
      </c>
      <c r="C234" s="144" t="s">
        <v>5</v>
      </c>
      <c r="D234" s="138" t="s">
        <v>2549</v>
      </c>
    </row>
    <row r="235" spans="1:4" ht="24" x14ac:dyDescent="0.25">
      <c r="A235" s="136">
        <v>234</v>
      </c>
      <c r="B235" s="136" t="s">
        <v>2890</v>
      </c>
      <c r="C235" s="144" t="s">
        <v>5</v>
      </c>
      <c r="D235" s="139" t="s">
        <v>248</v>
      </c>
    </row>
    <row r="236" spans="1:4" ht="36" x14ac:dyDescent="0.25">
      <c r="A236" s="136">
        <v>235</v>
      </c>
      <c r="B236" s="136" t="s">
        <v>2891</v>
      </c>
      <c r="C236" s="144" t="s">
        <v>5</v>
      </c>
      <c r="D236" s="138" t="s">
        <v>2550</v>
      </c>
    </row>
    <row r="237" spans="1:4" ht="48" x14ac:dyDescent="0.25">
      <c r="A237" s="136">
        <v>236</v>
      </c>
      <c r="B237" s="136" t="s">
        <v>2892</v>
      </c>
      <c r="C237" s="144" t="s">
        <v>5</v>
      </c>
      <c r="D237" s="139" t="s">
        <v>250</v>
      </c>
    </row>
    <row r="238" spans="1:4" ht="36" x14ac:dyDescent="0.25">
      <c r="A238" s="136">
        <v>237</v>
      </c>
      <c r="B238" s="136" t="s">
        <v>2893</v>
      </c>
      <c r="C238" s="144" t="s">
        <v>5</v>
      </c>
      <c r="D238" s="138" t="s">
        <v>2554</v>
      </c>
    </row>
    <row r="239" spans="1:4" ht="24" x14ac:dyDescent="0.25">
      <c r="A239" s="136">
        <v>238</v>
      </c>
      <c r="B239" s="136" t="s">
        <v>2894</v>
      </c>
      <c r="C239" s="144" t="s">
        <v>5</v>
      </c>
      <c r="D239" s="139" t="s">
        <v>251</v>
      </c>
    </row>
    <row r="240" spans="1:4" ht="24" x14ac:dyDescent="0.25">
      <c r="A240" s="136">
        <v>239</v>
      </c>
      <c r="B240" s="136" t="s">
        <v>2895</v>
      </c>
      <c r="C240" s="144" t="s">
        <v>5</v>
      </c>
      <c r="D240" s="138" t="s">
        <v>2572</v>
      </c>
    </row>
    <row r="241" spans="1:4" ht="48" x14ac:dyDescent="0.25">
      <c r="A241" s="136">
        <v>240</v>
      </c>
      <c r="B241" s="136" t="s">
        <v>2896</v>
      </c>
      <c r="C241" s="144" t="s">
        <v>5</v>
      </c>
      <c r="D241" s="139" t="s">
        <v>2556</v>
      </c>
    </row>
    <row r="242" spans="1:4" ht="36" x14ac:dyDescent="0.25">
      <c r="A242" s="136">
        <v>241</v>
      </c>
      <c r="B242" s="136" t="s">
        <v>2897</v>
      </c>
      <c r="C242" s="144" t="s">
        <v>5</v>
      </c>
      <c r="D242" s="138" t="s">
        <v>255</v>
      </c>
    </row>
    <row r="243" spans="1:4" ht="36" x14ac:dyDescent="0.25">
      <c r="A243" s="136">
        <v>242</v>
      </c>
      <c r="B243" s="136" t="s">
        <v>2898</v>
      </c>
      <c r="C243" s="144" t="s">
        <v>5</v>
      </c>
      <c r="D243" s="139" t="s">
        <v>2559</v>
      </c>
    </row>
    <row r="244" spans="1:4" ht="36" x14ac:dyDescent="0.25">
      <c r="A244" s="136">
        <v>243</v>
      </c>
      <c r="B244" s="136" t="s">
        <v>2899</v>
      </c>
      <c r="C244" s="144" t="s">
        <v>5</v>
      </c>
      <c r="D244" s="138" t="s">
        <v>2558</v>
      </c>
    </row>
    <row r="245" spans="1:4" ht="24" x14ac:dyDescent="0.25">
      <c r="A245" s="136">
        <v>244</v>
      </c>
      <c r="B245" s="136" t="s">
        <v>2900</v>
      </c>
      <c r="C245" s="144" t="s">
        <v>5</v>
      </c>
      <c r="D245" s="139" t="s">
        <v>258</v>
      </c>
    </row>
    <row r="246" spans="1:4" ht="60" x14ac:dyDescent="0.25">
      <c r="A246" s="136">
        <v>245</v>
      </c>
      <c r="B246" s="136" t="s">
        <v>2901</v>
      </c>
      <c r="C246" s="144" t="s">
        <v>5</v>
      </c>
      <c r="D246" s="138" t="s">
        <v>259</v>
      </c>
    </row>
    <row r="247" spans="1:4" ht="24" x14ac:dyDescent="0.25">
      <c r="A247" s="136">
        <v>246</v>
      </c>
      <c r="B247" s="136" t="s">
        <v>2902</v>
      </c>
      <c r="C247" s="144" t="s">
        <v>5</v>
      </c>
      <c r="D247" s="139" t="s">
        <v>260</v>
      </c>
    </row>
    <row r="248" spans="1:4" ht="24" x14ac:dyDescent="0.25">
      <c r="A248" s="136">
        <v>247</v>
      </c>
      <c r="B248" s="136" t="s">
        <v>2903</v>
      </c>
      <c r="C248" s="144" t="s">
        <v>5</v>
      </c>
      <c r="D248" s="138" t="s">
        <v>261</v>
      </c>
    </row>
    <row r="249" spans="1:4" ht="24" x14ac:dyDescent="0.25">
      <c r="A249" s="136">
        <v>248</v>
      </c>
      <c r="B249" s="136" t="s">
        <v>2904</v>
      </c>
      <c r="C249" s="144" t="s">
        <v>5</v>
      </c>
      <c r="D249" s="139" t="s">
        <v>262</v>
      </c>
    </row>
    <row r="250" spans="1:4" x14ac:dyDescent="0.25">
      <c r="A250" s="136">
        <v>249</v>
      </c>
      <c r="B250" s="136" t="s">
        <v>2905</v>
      </c>
      <c r="C250" s="144" t="s">
        <v>5</v>
      </c>
      <c r="D250" s="138" t="s">
        <v>263</v>
      </c>
    </row>
    <row r="251" spans="1:4" ht="36" x14ac:dyDescent="0.25">
      <c r="A251" s="136">
        <v>250</v>
      </c>
      <c r="B251" s="136" t="s">
        <v>2906</v>
      </c>
      <c r="C251" s="144" t="s">
        <v>5</v>
      </c>
      <c r="D251" s="139" t="s">
        <v>264</v>
      </c>
    </row>
    <row r="252" spans="1:4" ht="24" x14ac:dyDescent="0.25">
      <c r="A252" s="136">
        <v>251</v>
      </c>
      <c r="B252" s="136" t="s">
        <v>2907</v>
      </c>
      <c r="C252" s="144" t="s">
        <v>5</v>
      </c>
      <c r="D252" s="138" t="s">
        <v>265</v>
      </c>
    </row>
    <row r="253" spans="1:4" ht="36" x14ac:dyDescent="0.25">
      <c r="A253" s="136">
        <v>252</v>
      </c>
      <c r="B253" s="136" t="s">
        <v>2908</v>
      </c>
      <c r="C253" s="144" t="s">
        <v>5</v>
      </c>
      <c r="D253" s="139" t="s">
        <v>266</v>
      </c>
    </row>
    <row r="254" spans="1:4" ht="60" x14ac:dyDescent="0.25">
      <c r="A254" s="136">
        <v>253</v>
      </c>
      <c r="B254" s="136" t="s">
        <v>2909</v>
      </c>
      <c r="C254" s="144" t="s">
        <v>5</v>
      </c>
      <c r="D254" s="138" t="s">
        <v>267</v>
      </c>
    </row>
    <row r="255" spans="1:4" ht="36" x14ac:dyDescent="0.25">
      <c r="A255" s="136">
        <v>254</v>
      </c>
      <c r="B255" s="136" t="s">
        <v>2910</v>
      </c>
      <c r="C255" s="144" t="s">
        <v>5</v>
      </c>
      <c r="D255" s="139" t="s">
        <v>268</v>
      </c>
    </row>
    <row r="256" spans="1:4" ht="24" x14ac:dyDescent="0.25">
      <c r="A256" s="136">
        <v>255</v>
      </c>
      <c r="B256" s="136" t="s">
        <v>2911</v>
      </c>
      <c r="C256" s="144" t="s">
        <v>5</v>
      </c>
      <c r="D256" s="138" t="s">
        <v>269</v>
      </c>
    </row>
    <row r="257" spans="1:4" ht="48" x14ac:dyDescent="0.25">
      <c r="A257" s="136">
        <v>256</v>
      </c>
      <c r="B257" s="136" t="s">
        <v>2912</v>
      </c>
      <c r="C257" s="144" t="s">
        <v>5</v>
      </c>
      <c r="D257" s="139" t="s">
        <v>270</v>
      </c>
    </row>
    <row r="258" spans="1:4" ht="24" x14ac:dyDescent="0.25">
      <c r="A258" s="136">
        <v>257</v>
      </c>
      <c r="B258" s="136" t="s">
        <v>2913</v>
      </c>
      <c r="C258" s="144" t="s">
        <v>5</v>
      </c>
      <c r="D258" s="138" t="s">
        <v>271</v>
      </c>
    </row>
    <row r="259" spans="1:4" ht="48" x14ac:dyDescent="0.25">
      <c r="A259" s="136">
        <v>258</v>
      </c>
      <c r="B259" s="136" t="s">
        <v>2914</v>
      </c>
      <c r="C259" s="144" t="s">
        <v>5</v>
      </c>
      <c r="D259" s="139" t="s">
        <v>272</v>
      </c>
    </row>
    <row r="260" spans="1:4" ht="48" x14ac:dyDescent="0.25">
      <c r="A260" s="136">
        <v>259</v>
      </c>
      <c r="B260" s="136" t="s">
        <v>2915</v>
      </c>
      <c r="C260" s="144" t="s">
        <v>5</v>
      </c>
      <c r="D260" s="138" t="s">
        <v>273</v>
      </c>
    </row>
    <row r="261" spans="1:4" ht="48" x14ac:dyDescent="0.25">
      <c r="A261" s="136">
        <v>260</v>
      </c>
      <c r="B261" s="136" t="s">
        <v>2916</v>
      </c>
      <c r="C261" s="144" t="s">
        <v>5</v>
      </c>
      <c r="D261" s="139" t="s">
        <v>274</v>
      </c>
    </row>
    <row r="262" spans="1:4" ht="60" x14ac:dyDescent="0.25">
      <c r="A262" s="136">
        <v>261</v>
      </c>
      <c r="B262" s="136" t="s">
        <v>2917</v>
      </c>
      <c r="C262" s="144" t="s">
        <v>5</v>
      </c>
      <c r="D262" s="138" t="s">
        <v>2555</v>
      </c>
    </row>
    <row r="263" spans="1:4" ht="72" x14ac:dyDescent="0.25">
      <c r="A263" s="136">
        <v>262</v>
      </c>
      <c r="B263" s="136" t="s">
        <v>2918</v>
      </c>
      <c r="C263" s="144" t="s">
        <v>5</v>
      </c>
      <c r="D263" s="139" t="s">
        <v>276</v>
      </c>
    </row>
    <row r="264" spans="1:4" ht="96" x14ac:dyDescent="0.25">
      <c r="A264" s="136">
        <v>263</v>
      </c>
      <c r="B264" s="136" t="s">
        <v>2919</v>
      </c>
      <c r="C264" s="144" t="s">
        <v>5</v>
      </c>
      <c r="D264" s="138" t="s">
        <v>277</v>
      </c>
    </row>
    <row r="265" spans="1:4" ht="48" x14ac:dyDescent="0.25">
      <c r="A265" s="136">
        <v>264</v>
      </c>
      <c r="B265" s="136" t="s">
        <v>2920</v>
      </c>
      <c r="C265" s="144" t="s">
        <v>5</v>
      </c>
      <c r="D265" s="139" t="s">
        <v>278</v>
      </c>
    </row>
    <row r="266" spans="1:4" x14ac:dyDescent="0.25">
      <c r="A266" s="136">
        <v>265</v>
      </c>
      <c r="B266" s="136" t="s">
        <v>2921</v>
      </c>
      <c r="C266" s="144" t="s">
        <v>5</v>
      </c>
      <c r="D266" s="138" t="s">
        <v>279</v>
      </c>
    </row>
    <row r="267" spans="1:4" ht="36" x14ac:dyDescent="0.25">
      <c r="A267" s="136">
        <v>266</v>
      </c>
      <c r="B267" s="136" t="s">
        <v>2922</v>
      </c>
      <c r="C267" s="144" t="s">
        <v>5</v>
      </c>
      <c r="D267" s="139" t="s">
        <v>280</v>
      </c>
    </row>
    <row r="268" spans="1:4" ht="60" x14ac:dyDescent="0.25">
      <c r="A268" s="136">
        <v>267</v>
      </c>
      <c r="B268" s="136" t="s">
        <v>2923</v>
      </c>
      <c r="C268" s="144" t="s">
        <v>5</v>
      </c>
      <c r="D268" s="138" t="s">
        <v>281</v>
      </c>
    </row>
    <row r="269" spans="1:4" ht="60" x14ac:dyDescent="0.25">
      <c r="A269" s="136">
        <v>268</v>
      </c>
      <c r="B269" s="136" t="s">
        <v>2924</v>
      </c>
      <c r="C269" s="144" t="s">
        <v>5</v>
      </c>
      <c r="D269" s="139" t="s">
        <v>282</v>
      </c>
    </row>
    <row r="270" spans="1:4" ht="24" x14ac:dyDescent="0.25">
      <c r="A270" s="136">
        <v>269</v>
      </c>
      <c r="B270" s="136" t="s">
        <v>2925</v>
      </c>
      <c r="C270" s="144" t="s">
        <v>5</v>
      </c>
      <c r="D270" s="138" t="s">
        <v>283</v>
      </c>
    </row>
    <row r="271" spans="1:4" ht="84" x14ac:dyDescent="0.25">
      <c r="A271" s="136">
        <v>270</v>
      </c>
      <c r="B271" s="136" t="s">
        <v>2926</v>
      </c>
      <c r="C271" s="144" t="s">
        <v>5</v>
      </c>
      <c r="D271" s="139" t="s">
        <v>2612</v>
      </c>
    </row>
    <row r="272" spans="1:4" ht="84" x14ac:dyDescent="0.25">
      <c r="A272" s="136">
        <v>271</v>
      </c>
      <c r="B272" s="136" t="s">
        <v>2927</v>
      </c>
      <c r="C272" s="144" t="s">
        <v>5</v>
      </c>
      <c r="D272" s="138" t="s">
        <v>2613</v>
      </c>
    </row>
    <row r="273" spans="1:4" ht="24" x14ac:dyDescent="0.25">
      <c r="A273" s="136">
        <v>272</v>
      </c>
      <c r="B273" s="136" t="s">
        <v>2928</v>
      </c>
      <c r="C273" s="144" t="s">
        <v>5</v>
      </c>
      <c r="D273" s="139" t="s">
        <v>286</v>
      </c>
    </row>
    <row r="274" spans="1:4" ht="36" x14ac:dyDescent="0.25">
      <c r="A274" s="136">
        <v>273</v>
      </c>
      <c r="B274" s="136" t="s">
        <v>2929</v>
      </c>
      <c r="C274" s="144" t="s">
        <v>5</v>
      </c>
      <c r="D274" s="138" t="s">
        <v>287</v>
      </c>
    </row>
    <row r="275" spans="1:4" ht="24" x14ac:dyDescent="0.25">
      <c r="A275" s="136">
        <v>274</v>
      </c>
      <c r="B275" s="136" t="s">
        <v>2930</v>
      </c>
      <c r="C275" s="144" t="s">
        <v>5</v>
      </c>
      <c r="D275" s="139" t="s">
        <v>288</v>
      </c>
    </row>
    <row r="276" spans="1:4" ht="48" x14ac:dyDescent="0.25">
      <c r="A276" s="136">
        <v>275</v>
      </c>
      <c r="B276" s="136" t="s">
        <v>2931</v>
      </c>
      <c r="C276" s="144" t="s">
        <v>5</v>
      </c>
      <c r="D276" s="138" t="s">
        <v>289</v>
      </c>
    </row>
    <row r="277" spans="1:4" ht="36" x14ac:dyDescent="0.25">
      <c r="A277" s="136">
        <v>276</v>
      </c>
      <c r="B277" s="136" t="s">
        <v>2932</v>
      </c>
      <c r="C277" s="144" t="s">
        <v>5</v>
      </c>
      <c r="D277" s="139" t="s">
        <v>290</v>
      </c>
    </row>
    <row r="278" spans="1:4" ht="24" x14ac:dyDescent="0.25">
      <c r="A278" s="136">
        <v>277</v>
      </c>
      <c r="B278" s="136" t="s">
        <v>2933</v>
      </c>
      <c r="C278" s="144" t="s">
        <v>5</v>
      </c>
      <c r="D278" s="138" t="s">
        <v>291</v>
      </c>
    </row>
    <row r="279" spans="1:4" ht="36" x14ac:dyDescent="0.25">
      <c r="A279" s="136">
        <v>278</v>
      </c>
      <c r="B279" s="136" t="s">
        <v>2934</v>
      </c>
      <c r="C279" s="144" t="s">
        <v>5</v>
      </c>
      <c r="D279" s="139" t="s">
        <v>292</v>
      </c>
    </row>
    <row r="280" spans="1:4" ht="36" x14ac:dyDescent="0.25">
      <c r="A280" s="136">
        <v>279</v>
      </c>
      <c r="B280" s="136" t="s">
        <v>2935</v>
      </c>
      <c r="C280" s="144" t="s">
        <v>5</v>
      </c>
      <c r="D280" s="138" t="s">
        <v>293</v>
      </c>
    </row>
    <row r="281" spans="1:4" ht="60" x14ac:dyDescent="0.25">
      <c r="A281" s="136">
        <v>280</v>
      </c>
      <c r="B281" s="136" t="s">
        <v>2936</v>
      </c>
      <c r="C281" s="144" t="s">
        <v>5</v>
      </c>
      <c r="D281" s="139" t="s">
        <v>2614</v>
      </c>
    </row>
    <row r="282" spans="1:4" ht="36" x14ac:dyDescent="0.25">
      <c r="A282" s="136">
        <v>281</v>
      </c>
      <c r="B282" s="136" t="s">
        <v>2937</v>
      </c>
      <c r="C282" s="144" t="s">
        <v>5</v>
      </c>
      <c r="D282" s="138" t="s">
        <v>295</v>
      </c>
    </row>
    <row r="283" spans="1:4" ht="36" x14ac:dyDescent="0.25">
      <c r="A283" s="136">
        <v>282</v>
      </c>
      <c r="B283" s="136" t="s">
        <v>2938</v>
      </c>
      <c r="C283" s="144" t="s">
        <v>5</v>
      </c>
      <c r="D283" s="139" t="s">
        <v>296</v>
      </c>
    </row>
    <row r="284" spans="1:4" x14ac:dyDescent="0.25">
      <c r="A284" s="136">
        <v>283</v>
      </c>
      <c r="B284" s="136" t="s">
        <v>2939</v>
      </c>
      <c r="C284" s="144" t="s">
        <v>5</v>
      </c>
      <c r="D284" s="138" t="s">
        <v>297</v>
      </c>
    </row>
    <row r="285" spans="1:4" ht="24" x14ac:dyDescent="0.25">
      <c r="A285" s="136">
        <v>284</v>
      </c>
      <c r="B285" s="136" t="s">
        <v>2940</v>
      </c>
      <c r="C285" s="144" t="s">
        <v>5</v>
      </c>
      <c r="D285" s="139" t="s">
        <v>298</v>
      </c>
    </row>
    <row r="286" spans="1:4" ht="24" x14ac:dyDescent="0.25">
      <c r="A286" s="136">
        <v>286</v>
      </c>
      <c r="B286" s="136" t="s">
        <v>2941</v>
      </c>
      <c r="C286" s="144" t="s">
        <v>5</v>
      </c>
      <c r="D286" s="138" t="s">
        <v>300</v>
      </c>
    </row>
    <row r="287" spans="1:4" ht="24" x14ac:dyDescent="0.25">
      <c r="A287" s="136">
        <v>287</v>
      </c>
      <c r="B287" s="136" t="s">
        <v>2942</v>
      </c>
      <c r="C287" s="144" t="s">
        <v>5</v>
      </c>
      <c r="D287" s="139" t="s">
        <v>301</v>
      </c>
    </row>
    <row r="288" spans="1:4" ht="36" x14ac:dyDescent="0.25">
      <c r="A288" s="136">
        <v>288</v>
      </c>
      <c r="B288" s="136" t="s">
        <v>2943</v>
      </c>
      <c r="C288" s="144" t="s">
        <v>5</v>
      </c>
      <c r="D288" s="138" t="s">
        <v>302</v>
      </c>
    </row>
    <row r="289" spans="1:4" ht="48" x14ac:dyDescent="0.25">
      <c r="A289" s="136">
        <v>289</v>
      </c>
      <c r="B289" s="136" t="s">
        <v>2944</v>
      </c>
      <c r="C289" s="144" t="s">
        <v>5</v>
      </c>
      <c r="D289" s="139" t="s">
        <v>303</v>
      </c>
    </row>
    <row r="290" spans="1:4" ht="60" x14ac:dyDescent="0.25">
      <c r="A290" s="136">
        <v>290</v>
      </c>
      <c r="B290" s="136" t="s">
        <v>2945</v>
      </c>
      <c r="C290" s="144" t="s">
        <v>5</v>
      </c>
      <c r="D290" s="138" t="s">
        <v>304</v>
      </c>
    </row>
    <row r="291" spans="1:4" ht="48" x14ac:dyDescent="0.25">
      <c r="A291" s="136">
        <v>291</v>
      </c>
      <c r="B291" s="136" t="s">
        <v>2946</v>
      </c>
      <c r="C291" s="144" t="s">
        <v>5</v>
      </c>
      <c r="D291" s="139" t="s">
        <v>305</v>
      </c>
    </row>
    <row r="292" spans="1:4" ht="48" x14ac:dyDescent="0.25">
      <c r="A292" s="136">
        <v>292</v>
      </c>
      <c r="B292" s="136" t="s">
        <v>2947</v>
      </c>
      <c r="C292" s="144" t="s">
        <v>5</v>
      </c>
      <c r="D292" s="138" t="s">
        <v>306</v>
      </c>
    </row>
    <row r="293" spans="1:4" ht="60" x14ac:dyDescent="0.25">
      <c r="A293" s="136">
        <v>293</v>
      </c>
      <c r="B293" s="136" t="s">
        <v>2948</v>
      </c>
      <c r="C293" s="144" t="s">
        <v>5</v>
      </c>
      <c r="D293" s="139" t="s">
        <v>2547</v>
      </c>
    </row>
    <row r="294" spans="1:4" ht="72" x14ac:dyDescent="0.25">
      <c r="A294" s="136">
        <v>294</v>
      </c>
      <c r="B294" s="136" t="s">
        <v>2949</v>
      </c>
      <c r="C294" s="144" t="s">
        <v>5</v>
      </c>
      <c r="D294" s="138" t="s">
        <v>308</v>
      </c>
    </row>
    <row r="295" spans="1:4" ht="24" x14ac:dyDescent="0.25">
      <c r="A295" s="136">
        <v>295</v>
      </c>
      <c r="B295" s="136" t="s">
        <v>2950</v>
      </c>
      <c r="C295" s="144" t="s">
        <v>5</v>
      </c>
      <c r="D295" s="139" t="s">
        <v>309</v>
      </c>
    </row>
    <row r="296" spans="1:4" ht="48" x14ac:dyDescent="0.25">
      <c r="A296" s="136">
        <v>296</v>
      </c>
      <c r="B296" s="136" t="s">
        <v>2951</v>
      </c>
      <c r="C296" s="144" t="s">
        <v>5</v>
      </c>
      <c r="D296" s="138" t="s">
        <v>310</v>
      </c>
    </row>
    <row r="297" spans="1:4" ht="48" x14ac:dyDescent="0.25">
      <c r="A297" s="136">
        <v>297</v>
      </c>
      <c r="B297" s="136" t="s">
        <v>2952</v>
      </c>
      <c r="C297" s="144" t="s">
        <v>5</v>
      </c>
      <c r="D297" s="139" t="s">
        <v>311</v>
      </c>
    </row>
    <row r="298" spans="1:4" ht="48" x14ac:dyDescent="0.25">
      <c r="A298" s="136">
        <v>298</v>
      </c>
      <c r="B298" s="136" t="s">
        <v>2953</v>
      </c>
      <c r="C298" s="144" t="s">
        <v>5</v>
      </c>
      <c r="D298" s="138" t="s">
        <v>312</v>
      </c>
    </row>
    <row r="299" spans="1:4" ht="48" x14ac:dyDescent="0.25">
      <c r="A299" s="136">
        <v>299</v>
      </c>
      <c r="B299" s="136" t="s">
        <v>2954</v>
      </c>
      <c r="C299" s="144" t="s">
        <v>5</v>
      </c>
      <c r="D299" s="139" t="s">
        <v>313</v>
      </c>
    </row>
    <row r="300" spans="1:4" ht="36" x14ac:dyDescent="0.25">
      <c r="A300" s="136">
        <v>300</v>
      </c>
      <c r="B300" s="136" t="s">
        <v>2955</v>
      </c>
      <c r="C300" s="144" t="s">
        <v>5</v>
      </c>
      <c r="D300" s="138" t="s">
        <v>314</v>
      </c>
    </row>
    <row r="301" spans="1:4" ht="60" x14ac:dyDescent="0.25">
      <c r="A301" s="136">
        <v>301</v>
      </c>
      <c r="B301" s="136" t="s">
        <v>2956</v>
      </c>
      <c r="C301" s="144" t="s">
        <v>5</v>
      </c>
      <c r="D301" s="139" t="s">
        <v>2545</v>
      </c>
    </row>
    <row r="302" spans="1:4" ht="36" x14ac:dyDescent="0.25">
      <c r="A302" s="136">
        <v>302</v>
      </c>
      <c r="B302" s="136" t="s">
        <v>2957</v>
      </c>
      <c r="C302" s="144" t="s">
        <v>5</v>
      </c>
      <c r="D302" s="138" t="s">
        <v>315</v>
      </c>
    </row>
    <row r="303" spans="1:4" ht="36" x14ac:dyDescent="0.25">
      <c r="A303" s="136">
        <v>303</v>
      </c>
      <c r="B303" s="136" t="s">
        <v>2958</v>
      </c>
      <c r="C303" s="144" t="s">
        <v>5</v>
      </c>
      <c r="D303" s="139" t="s">
        <v>316</v>
      </c>
    </row>
    <row r="304" spans="1:4" ht="36" x14ac:dyDescent="0.25">
      <c r="A304" s="136">
        <v>304</v>
      </c>
      <c r="B304" s="136" t="s">
        <v>2959</v>
      </c>
      <c r="C304" s="144" t="s">
        <v>5</v>
      </c>
      <c r="D304" s="138" t="s">
        <v>317</v>
      </c>
    </row>
    <row r="305" spans="1:4" ht="24" x14ac:dyDescent="0.25">
      <c r="A305" s="136">
        <v>305</v>
      </c>
      <c r="B305" s="136" t="s">
        <v>2960</v>
      </c>
      <c r="C305" s="144" t="s">
        <v>5</v>
      </c>
      <c r="D305" s="139" t="s">
        <v>318</v>
      </c>
    </row>
    <row r="306" spans="1:4" ht="48" x14ac:dyDescent="0.25">
      <c r="A306" s="136">
        <v>306</v>
      </c>
      <c r="B306" s="136" t="s">
        <v>2961</v>
      </c>
      <c r="C306" s="144" t="s">
        <v>5</v>
      </c>
      <c r="D306" s="138" t="s">
        <v>319</v>
      </c>
    </row>
    <row r="307" spans="1:4" ht="60" x14ac:dyDescent="0.25">
      <c r="A307" s="136">
        <v>307</v>
      </c>
      <c r="B307" s="136" t="s">
        <v>2962</v>
      </c>
      <c r="C307" s="144" t="s">
        <v>5</v>
      </c>
      <c r="D307" s="139" t="s">
        <v>320</v>
      </c>
    </row>
    <row r="308" spans="1:4" ht="60" x14ac:dyDescent="0.25">
      <c r="A308" s="136">
        <v>308</v>
      </c>
      <c r="B308" s="136" t="s">
        <v>2963</v>
      </c>
      <c r="C308" s="144" t="s">
        <v>5</v>
      </c>
      <c r="D308" s="138" t="s">
        <v>321</v>
      </c>
    </row>
    <row r="309" spans="1:4" ht="60" x14ac:dyDescent="0.25">
      <c r="A309" s="136">
        <v>309</v>
      </c>
      <c r="B309" s="136" t="s">
        <v>2964</v>
      </c>
      <c r="C309" s="144" t="s">
        <v>5</v>
      </c>
      <c r="D309" s="139" t="s">
        <v>322</v>
      </c>
    </row>
    <row r="310" spans="1:4" ht="36" x14ac:dyDescent="0.25">
      <c r="A310" s="136">
        <v>310</v>
      </c>
      <c r="B310" s="136" t="s">
        <v>2965</v>
      </c>
      <c r="C310" s="144" t="s">
        <v>5</v>
      </c>
      <c r="D310" s="138" t="s">
        <v>323</v>
      </c>
    </row>
    <row r="311" spans="1:4" ht="48" x14ac:dyDescent="0.25">
      <c r="A311" s="136">
        <v>311</v>
      </c>
      <c r="B311" s="136" t="s">
        <v>2966</v>
      </c>
      <c r="C311" s="144" t="s">
        <v>5</v>
      </c>
      <c r="D311" s="139" t="s">
        <v>2616</v>
      </c>
    </row>
    <row r="312" spans="1:4" ht="48" x14ac:dyDescent="0.25">
      <c r="A312" s="136">
        <v>312</v>
      </c>
      <c r="B312" s="136" t="s">
        <v>2967</v>
      </c>
      <c r="C312" s="144" t="s">
        <v>5</v>
      </c>
      <c r="D312" s="138" t="s">
        <v>2576</v>
      </c>
    </row>
    <row r="313" spans="1:4" ht="24" x14ac:dyDescent="0.25">
      <c r="A313" s="136">
        <v>313</v>
      </c>
      <c r="B313" s="136" t="s">
        <v>2968</v>
      </c>
      <c r="C313" s="144" t="s">
        <v>5</v>
      </c>
      <c r="D313" s="139" t="s">
        <v>326</v>
      </c>
    </row>
    <row r="314" spans="1:4" ht="48" x14ac:dyDescent="0.25">
      <c r="A314" s="136">
        <v>314</v>
      </c>
      <c r="B314" s="136" t="s">
        <v>2969</v>
      </c>
      <c r="C314" s="144" t="s">
        <v>5</v>
      </c>
      <c r="D314" s="138" t="s">
        <v>327</v>
      </c>
    </row>
    <row r="315" spans="1:4" ht="36" x14ac:dyDescent="0.25">
      <c r="A315" s="136">
        <v>315</v>
      </c>
      <c r="B315" s="136" t="s">
        <v>2970</v>
      </c>
      <c r="C315" s="144" t="s">
        <v>5</v>
      </c>
      <c r="D315" s="139" t="s">
        <v>328</v>
      </c>
    </row>
    <row r="316" spans="1:4" ht="36" x14ac:dyDescent="0.25">
      <c r="A316" s="136">
        <v>316</v>
      </c>
      <c r="B316" s="136" t="s">
        <v>2971</v>
      </c>
      <c r="C316" s="144" t="s">
        <v>5</v>
      </c>
      <c r="D316" s="138" t="s">
        <v>329</v>
      </c>
    </row>
    <row r="317" spans="1:4" ht="48" x14ac:dyDescent="0.25">
      <c r="A317" s="136">
        <v>317</v>
      </c>
      <c r="B317" s="136" t="s">
        <v>2972</v>
      </c>
      <c r="C317" s="144" t="s">
        <v>5</v>
      </c>
      <c r="D317" s="139" t="s">
        <v>330</v>
      </c>
    </row>
    <row r="318" spans="1:4" ht="36" x14ac:dyDescent="0.25">
      <c r="A318" s="136">
        <v>318</v>
      </c>
      <c r="B318" s="136" t="s">
        <v>2973</v>
      </c>
      <c r="C318" s="144" t="s">
        <v>5</v>
      </c>
      <c r="D318" s="138" t="s">
        <v>331</v>
      </c>
    </row>
    <row r="319" spans="1:4" ht="24" x14ac:dyDescent="0.25">
      <c r="A319" s="136">
        <v>319</v>
      </c>
      <c r="B319" s="136" t="s">
        <v>2974</v>
      </c>
      <c r="C319" s="144" t="s">
        <v>5</v>
      </c>
      <c r="D319" s="139" t="s">
        <v>332</v>
      </c>
    </row>
    <row r="320" spans="1:4" ht="36" x14ac:dyDescent="0.25">
      <c r="A320" s="136">
        <v>320</v>
      </c>
      <c r="B320" s="136" t="s">
        <v>2975</v>
      </c>
      <c r="C320" s="144" t="s">
        <v>5</v>
      </c>
      <c r="D320" s="138" t="s">
        <v>333</v>
      </c>
    </row>
    <row r="321" spans="1:4" ht="60" x14ac:dyDescent="0.25">
      <c r="A321" s="136">
        <v>321</v>
      </c>
      <c r="B321" s="136" t="s">
        <v>2976</v>
      </c>
      <c r="C321" s="144" t="s">
        <v>5</v>
      </c>
      <c r="D321" s="139" t="s">
        <v>334</v>
      </c>
    </row>
    <row r="322" spans="1:4" ht="48" x14ac:dyDescent="0.25">
      <c r="A322" s="136">
        <v>322</v>
      </c>
      <c r="B322" s="136" t="s">
        <v>2977</v>
      </c>
      <c r="C322" s="144" t="s">
        <v>5</v>
      </c>
      <c r="D322" s="138" t="s">
        <v>335</v>
      </c>
    </row>
    <row r="323" spans="1:4" ht="60" x14ac:dyDescent="0.25">
      <c r="A323" s="136">
        <v>323</v>
      </c>
      <c r="B323" s="136" t="s">
        <v>2978</v>
      </c>
      <c r="C323" s="144" t="s">
        <v>5</v>
      </c>
      <c r="D323" s="139" t="s">
        <v>336</v>
      </c>
    </row>
    <row r="324" spans="1:4" ht="48" x14ac:dyDescent="0.25">
      <c r="A324" s="136">
        <v>324</v>
      </c>
      <c r="B324" s="136" t="s">
        <v>2979</v>
      </c>
      <c r="C324" s="144" t="s">
        <v>5</v>
      </c>
      <c r="D324" s="138" t="s">
        <v>337</v>
      </c>
    </row>
    <row r="325" spans="1:4" ht="84" x14ac:dyDescent="0.25">
      <c r="A325" s="136">
        <v>325</v>
      </c>
      <c r="B325" s="136" t="s">
        <v>2980</v>
      </c>
      <c r="C325" s="144" t="s">
        <v>5</v>
      </c>
      <c r="D325" s="139" t="s">
        <v>338</v>
      </c>
    </row>
    <row r="326" spans="1:4" ht="60" x14ac:dyDescent="0.25">
      <c r="A326" s="136">
        <v>326</v>
      </c>
      <c r="B326" s="136" t="s">
        <v>2981</v>
      </c>
      <c r="C326" s="144" t="s">
        <v>5</v>
      </c>
      <c r="D326" s="138" t="s">
        <v>339</v>
      </c>
    </row>
    <row r="327" spans="1:4" ht="60" x14ac:dyDescent="0.25">
      <c r="A327" s="136">
        <v>327</v>
      </c>
      <c r="B327" s="136" t="s">
        <v>2982</v>
      </c>
      <c r="C327" s="144" t="s">
        <v>5</v>
      </c>
      <c r="D327" s="139" t="s">
        <v>340</v>
      </c>
    </row>
    <row r="328" spans="1:4" ht="36" x14ac:dyDescent="0.25">
      <c r="A328" s="136">
        <v>328</v>
      </c>
      <c r="B328" s="136" t="s">
        <v>2983</v>
      </c>
      <c r="C328" s="144" t="s">
        <v>5</v>
      </c>
      <c r="D328" s="138" t="s">
        <v>341</v>
      </c>
    </row>
    <row r="329" spans="1:4" ht="60" x14ac:dyDescent="0.25">
      <c r="A329" s="136">
        <v>329</v>
      </c>
      <c r="B329" s="136" t="s">
        <v>2984</v>
      </c>
      <c r="C329" s="144" t="s">
        <v>5</v>
      </c>
      <c r="D329" s="139" t="s">
        <v>2623</v>
      </c>
    </row>
    <row r="330" spans="1:4" ht="36" x14ac:dyDescent="0.25">
      <c r="A330" s="136">
        <v>330</v>
      </c>
      <c r="B330" s="136" t="s">
        <v>2985</v>
      </c>
      <c r="C330" s="144" t="s">
        <v>5</v>
      </c>
      <c r="D330" s="138" t="s">
        <v>343</v>
      </c>
    </row>
    <row r="331" spans="1:4" ht="60" x14ac:dyDescent="0.25">
      <c r="A331" s="136">
        <v>331</v>
      </c>
      <c r="B331" s="136" t="s">
        <v>2986</v>
      </c>
      <c r="C331" s="144" t="s">
        <v>5</v>
      </c>
      <c r="D331" s="139" t="s">
        <v>344</v>
      </c>
    </row>
    <row r="332" spans="1:4" ht="48" x14ac:dyDescent="0.25">
      <c r="A332" s="136">
        <v>332</v>
      </c>
      <c r="B332" s="136" t="s">
        <v>2987</v>
      </c>
      <c r="C332" s="144" t="s">
        <v>5</v>
      </c>
      <c r="D332" s="138" t="s">
        <v>345</v>
      </c>
    </row>
    <row r="333" spans="1:4" ht="36" x14ac:dyDescent="0.25">
      <c r="A333" s="136">
        <v>333</v>
      </c>
      <c r="B333" s="136" t="s">
        <v>2988</v>
      </c>
      <c r="C333" s="144" t="s">
        <v>5</v>
      </c>
      <c r="D333" s="139" t="s">
        <v>346</v>
      </c>
    </row>
    <row r="334" spans="1:4" ht="36" x14ac:dyDescent="0.25">
      <c r="A334" s="136">
        <v>334</v>
      </c>
      <c r="B334" s="136" t="s">
        <v>2989</v>
      </c>
      <c r="C334" s="144" t="s">
        <v>5</v>
      </c>
      <c r="D334" s="138" t="s">
        <v>347</v>
      </c>
    </row>
    <row r="335" spans="1:4" ht="24" x14ac:dyDescent="0.25">
      <c r="A335" s="136">
        <v>335</v>
      </c>
      <c r="B335" s="136" t="s">
        <v>2990</v>
      </c>
      <c r="C335" s="144" t="s">
        <v>5</v>
      </c>
      <c r="D335" s="139" t="s">
        <v>348</v>
      </c>
    </row>
    <row r="336" spans="1:4" ht="24" x14ac:dyDescent="0.25">
      <c r="A336" s="136">
        <v>336</v>
      </c>
      <c r="B336" s="136" t="s">
        <v>2991</v>
      </c>
      <c r="C336" s="144" t="s">
        <v>5</v>
      </c>
      <c r="D336" s="138" t="s">
        <v>349</v>
      </c>
    </row>
    <row r="337" spans="1:4" ht="36" x14ac:dyDescent="0.25">
      <c r="A337" s="136">
        <v>337</v>
      </c>
      <c r="B337" s="136" t="s">
        <v>2992</v>
      </c>
      <c r="C337" s="144" t="s">
        <v>5</v>
      </c>
      <c r="D337" s="139" t="s">
        <v>350</v>
      </c>
    </row>
    <row r="338" spans="1:4" ht="36" x14ac:dyDescent="0.25">
      <c r="A338" s="136">
        <v>338</v>
      </c>
      <c r="B338" s="136" t="s">
        <v>2993</v>
      </c>
      <c r="C338" s="144" t="s">
        <v>5</v>
      </c>
      <c r="D338" s="138" t="s">
        <v>351</v>
      </c>
    </row>
    <row r="339" spans="1:4" ht="48" x14ac:dyDescent="0.25">
      <c r="A339" s="136">
        <v>339</v>
      </c>
      <c r="B339" s="136" t="s">
        <v>2994</v>
      </c>
      <c r="C339" s="144" t="s">
        <v>5</v>
      </c>
      <c r="D339" s="139" t="s">
        <v>352</v>
      </c>
    </row>
    <row r="340" spans="1:4" ht="36" x14ac:dyDescent="0.25">
      <c r="A340" s="136">
        <v>340</v>
      </c>
      <c r="B340" s="136" t="s">
        <v>2995</v>
      </c>
      <c r="C340" s="145" t="s">
        <v>6</v>
      </c>
      <c r="D340" s="138" t="s">
        <v>353</v>
      </c>
    </row>
    <row r="341" spans="1:4" ht="36" x14ac:dyDescent="0.25">
      <c r="A341" s="136">
        <v>341</v>
      </c>
      <c r="B341" s="136" t="s">
        <v>2996</v>
      </c>
      <c r="C341" s="145" t="s">
        <v>6</v>
      </c>
      <c r="D341" s="139" t="s">
        <v>354</v>
      </c>
    </row>
    <row r="342" spans="1:4" ht="24" x14ac:dyDescent="0.25">
      <c r="A342" s="136">
        <v>342</v>
      </c>
      <c r="B342" s="136" t="s">
        <v>2997</v>
      </c>
      <c r="C342" s="145" t="s">
        <v>6</v>
      </c>
      <c r="D342" s="138" t="s">
        <v>355</v>
      </c>
    </row>
    <row r="343" spans="1:4" ht="36" x14ac:dyDescent="0.25">
      <c r="A343" s="136">
        <v>343</v>
      </c>
      <c r="B343" s="136" t="s">
        <v>2998</v>
      </c>
      <c r="C343" s="145" t="s">
        <v>6</v>
      </c>
      <c r="D343" s="139" t="s">
        <v>356</v>
      </c>
    </row>
    <row r="344" spans="1:4" ht="72" x14ac:dyDescent="0.25">
      <c r="A344" s="136">
        <v>344</v>
      </c>
      <c r="B344" s="136" t="s">
        <v>2999</v>
      </c>
      <c r="C344" s="145" t="s">
        <v>6</v>
      </c>
      <c r="D344" s="138" t="s">
        <v>357</v>
      </c>
    </row>
    <row r="345" spans="1:4" ht="48" x14ac:dyDescent="0.25">
      <c r="A345" s="136">
        <v>345</v>
      </c>
      <c r="B345" s="136" t="s">
        <v>3000</v>
      </c>
      <c r="C345" s="145" t="s">
        <v>6</v>
      </c>
      <c r="D345" s="139" t="s">
        <v>358</v>
      </c>
    </row>
    <row r="346" spans="1:4" ht="48" x14ac:dyDescent="0.25">
      <c r="A346" s="136">
        <v>346</v>
      </c>
      <c r="B346" s="136" t="s">
        <v>3001</v>
      </c>
      <c r="C346" s="145" t="s">
        <v>6</v>
      </c>
      <c r="D346" s="138" t="s">
        <v>359</v>
      </c>
    </row>
    <row r="347" spans="1:4" ht="48" x14ac:dyDescent="0.25">
      <c r="A347" s="136">
        <v>347</v>
      </c>
      <c r="B347" s="136" t="s">
        <v>3002</v>
      </c>
      <c r="C347" s="145" t="s">
        <v>6</v>
      </c>
      <c r="D347" s="139" t="s">
        <v>360</v>
      </c>
    </row>
    <row r="348" spans="1:4" ht="48" x14ac:dyDescent="0.25">
      <c r="A348" s="136">
        <v>348</v>
      </c>
      <c r="B348" s="136" t="s">
        <v>3003</v>
      </c>
      <c r="C348" s="145" t="s">
        <v>6</v>
      </c>
      <c r="D348" s="138" t="s">
        <v>361</v>
      </c>
    </row>
    <row r="349" spans="1:4" ht="72" x14ac:dyDescent="0.25">
      <c r="A349" s="136">
        <v>349</v>
      </c>
      <c r="B349" s="136" t="s">
        <v>3004</v>
      </c>
      <c r="C349" s="145" t="s">
        <v>6</v>
      </c>
      <c r="D349" s="139" t="s">
        <v>2553</v>
      </c>
    </row>
    <row r="350" spans="1:4" ht="36" x14ac:dyDescent="0.25">
      <c r="A350" s="136">
        <v>350</v>
      </c>
      <c r="B350" s="136" t="s">
        <v>3005</v>
      </c>
      <c r="C350" s="145" t="s">
        <v>6</v>
      </c>
      <c r="D350" s="138" t="s">
        <v>363</v>
      </c>
    </row>
    <row r="351" spans="1:4" ht="24" x14ac:dyDescent="0.25">
      <c r="A351" s="136">
        <v>351</v>
      </c>
      <c r="B351" s="136" t="s">
        <v>3006</v>
      </c>
      <c r="C351" s="145" t="s">
        <v>6</v>
      </c>
      <c r="D351" s="139" t="s">
        <v>364</v>
      </c>
    </row>
    <row r="352" spans="1:4" ht="24" x14ac:dyDescent="0.25">
      <c r="A352" s="136">
        <v>352</v>
      </c>
      <c r="B352" s="136" t="s">
        <v>3007</v>
      </c>
      <c r="C352" s="145" t="s">
        <v>6</v>
      </c>
      <c r="D352" s="138" t="s">
        <v>365</v>
      </c>
    </row>
    <row r="353" spans="1:4" ht="36" x14ac:dyDescent="0.25">
      <c r="A353" s="136">
        <v>353</v>
      </c>
      <c r="B353" s="136" t="s">
        <v>3008</v>
      </c>
      <c r="C353" s="145" t="s">
        <v>6</v>
      </c>
      <c r="D353" s="139" t="s">
        <v>366</v>
      </c>
    </row>
    <row r="354" spans="1:4" ht="24" x14ac:dyDescent="0.25">
      <c r="A354" s="136">
        <v>354</v>
      </c>
      <c r="B354" s="136" t="s">
        <v>3009</v>
      </c>
      <c r="C354" s="145" t="s">
        <v>6</v>
      </c>
      <c r="D354" s="138" t="s">
        <v>367</v>
      </c>
    </row>
    <row r="355" spans="1:4" ht="24" x14ac:dyDescent="0.25">
      <c r="A355" s="136">
        <v>355</v>
      </c>
      <c r="B355" s="136" t="s">
        <v>3010</v>
      </c>
      <c r="C355" s="145" t="s">
        <v>6</v>
      </c>
      <c r="D355" s="139" t="s">
        <v>368</v>
      </c>
    </row>
    <row r="356" spans="1:4" ht="24" x14ac:dyDescent="0.25">
      <c r="A356" s="136">
        <v>356</v>
      </c>
      <c r="B356" s="136" t="s">
        <v>3011</v>
      </c>
      <c r="C356" s="145" t="s">
        <v>6</v>
      </c>
      <c r="D356" s="138" t="s">
        <v>369</v>
      </c>
    </row>
    <row r="357" spans="1:4" ht="48" x14ac:dyDescent="0.25">
      <c r="A357" s="136">
        <v>357</v>
      </c>
      <c r="B357" s="136" t="s">
        <v>3012</v>
      </c>
      <c r="C357" s="145" t="s">
        <v>6</v>
      </c>
      <c r="D357" s="139" t="s">
        <v>370</v>
      </c>
    </row>
    <row r="358" spans="1:4" ht="24" x14ac:dyDescent="0.25">
      <c r="A358" s="136">
        <v>358</v>
      </c>
      <c r="B358" s="136" t="s">
        <v>3013</v>
      </c>
      <c r="C358" s="145" t="s">
        <v>6</v>
      </c>
      <c r="D358" s="138" t="s">
        <v>371</v>
      </c>
    </row>
    <row r="359" spans="1:4" ht="48" x14ac:dyDescent="0.25">
      <c r="A359" s="136">
        <v>359</v>
      </c>
      <c r="B359" s="136" t="s">
        <v>3014</v>
      </c>
      <c r="C359" s="145" t="s">
        <v>6</v>
      </c>
      <c r="D359" s="139" t="s">
        <v>372</v>
      </c>
    </row>
    <row r="360" spans="1:4" ht="36" x14ac:dyDescent="0.25">
      <c r="A360" s="136">
        <v>360</v>
      </c>
      <c r="B360" s="136" t="s">
        <v>3015</v>
      </c>
      <c r="C360" s="145" t="s">
        <v>6</v>
      </c>
      <c r="D360" s="138" t="s">
        <v>373</v>
      </c>
    </row>
    <row r="361" spans="1:4" ht="36" x14ac:dyDescent="0.25">
      <c r="A361" s="136">
        <v>361</v>
      </c>
      <c r="B361" s="136" t="s">
        <v>3016</v>
      </c>
      <c r="C361" s="145" t="s">
        <v>6</v>
      </c>
      <c r="D361" s="139" t="s">
        <v>374</v>
      </c>
    </row>
    <row r="362" spans="1:4" ht="36" x14ac:dyDescent="0.25">
      <c r="A362" s="136">
        <v>362</v>
      </c>
      <c r="B362" s="136" t="s">
        <v>3017</v>
      </c>
      <c r="C362" s="145" t="s">
        <v>6</v>
      </c>
      <c r="D362" s="138" t="s">
        <v>375</v>
      </c>
    </row>
    <row r="363" spans="1:4" ht="24" x14ac:dyDescent="0.25">
      <c r="A363" s="136">
        <v>363</v>
      </c>
      <c r="B363" s="136" t="s">
        <v>3018</v>
      </c>
      <c r="C363" s="145" t="s">
        <v>6</v>
      </c>
      <c r="D363" s="139" t="s">
        <v>376</v>
      </c>
    </row>
    <row r="364" spans="1:4" ht="48" x14ac:dyDescent="0.25">
      <c r="A364" s="136">
        <v>364</v>
      </c>
      <c r="B364" s="136" t="s">
        <v>3019</v>
      </c>
      <c r="C364" s="145" t="s">
        <v>6</v>
      </c>
      <c r="D364" s="138" t="s">
        <v>377</v>
      </c>
    </row>
    <row r="365" spans="1:4" ht="72" x14ac:dyDescent="0.25">
      <c r="A365" s="136">
        <v>365</v>
      </c>
      <c r="B365" s="136" t="s">
        <v>3020</v>
      </c>
      <c r="C365" s="145" t="s">
        <v>6</v>
      </c>
      <c r="D365" s="139" t="s">
        <v>378</v>
      </c>
    </row>
    <row r="366" spans="1:4" ht="72" x14ac:dyDescent="0.25">
      <c r="A366" s="136">
        <v>366</v>
      </c>
      <c r="B366" s="136" t="s">
        <v>3021</v>
      </c>
      <c r="C366" s="145" t="s">
        <v>6</v>
      </c>
      <c r="D366" s="138" t="s">
        <v>379</v>
      </c>
    </row>
    <row r="367" spans="1:4" ht="108" x14ac:dyDescent="0.25">
      <c r="A367" s="136">
        <v>367</v>
      </c>
      <c r="B367" s="136" t="s">
        <v>3022</v>
      </c>
      <c r="C367" s="145" t="s">
        <v>6</v>
      </c>
      <c r="D367" s="139" t="s">
        <v>380</v>
      </c>
    </row>
    <row r="368" spans="1:4" ht="72" x14ac:dyDescent="0.25">
      <c r="A368" s="136">
        <v>368</v>
      </c>
      <c r="B368" s="136" t="s">
        <v>3023</v>
      </c>
      <c r="C368" s="145" t="s">
        <v>6</v>
      </c>
      <c r="D368" s="138" t="s">
        <v>381</v>
      </c>
    </row>
    <row r="369" spans="1:4" ht="108" x14ac:dyDescent="0.25">
      <c r="A369" s="136">
        <v>369</v>
      </c>
      <c r="B369" s="136" t="s">
        <v>3024</v>
      </c>
      <c r="C369" s="145" t="s">
        <v>6</v>
      </c>
      <c r="D369" s="139" t="s">
        <v>382</v>
      </c>
    </row>
    <row r="370" spans="1:4" ht="84" x14ac:dyDescent="0.25">
      <c r="A370" s="136">
        <v>370</v>
      </c>
      <c r="B370" s="136" t="s">
        <v>3025</v>
      </c>
      <c r="C370" s="145" t="s">
        <v>6</v>
      </c>
      <c r="D370" s="138" t="s">
        <v>383</v>
      </c>
    </row>
    <row r="371" spans="1:4" ht="84" x14ac:dyDescent="0.25">
      <c r="A371" s="136">
        <v>371</v>
      </c>
      <c r="B371" s="136" t="s">
        <v>3026</v>
      </c>
      <c r="C371" s="145" t="s">
        <v>6</v>
      </c>
      <c r="D371" s="139" t="s">
        <v>384</v>
      </c>
    </row>
    <row r="372" spans="1:4" ht="72" x14ac:dyDescent="0.25">
      <c r="A372" s="136">
        <v>372</v>
      </c>
      <c r="B372" s="136" t="s">
        <v>3027</v>
      </c>
      <c r="C372" s="145" t="s">
        <v>6</v>
      </c>
      <c r="D372" s="138" t="s">
        <v>385</v>
      </c>
    </row>
    <row r="373" spans="1:4" ht="96" x14ac:dyDescent="0.25">
      <c r="A373" s="136">
        <v>373</v>
      </c>
      <c r="B373" s="136" t="s">
        <v>3028</v>
      </c>
      <c r="C373" s="145" t="s">
        <v>6</v>
      </c>
      <c r="D373" s="139" t="s">
        <v>386</v>
      </c>
    </row>
    <row r="374" spans="1:4" ht="96" x14ac:dyDescent="0.25">
      <c r="A374" s="136">
        <v>374</v>
      </c>
      <c r="B374" s="136" t="s">
        <v>3029</v>
      </c>
      <c r="C374" s="145" t="s">
        <v>6</v>
      </c>
      <c r="D374" s="138" t="s">
        <v>387</v>
      </c>
    </row>
    <row r="375" spans="1:4" ht="60" x14ac:dyDescent="0.25">
      <c r="A375" s="136">
        <v>375</v>
      </c>
      <c r="B375" s="136" t="s">
        <v>3030</v>
      </c>
      <c r="C375" s="145" t="s">
        <v>6</v>
      </c>
      <c r="D375" s="139" t="s">
        <v>388</v>
      </c>
    </row>
    <row r="376" spans="1:4" ht="96" x14ac:dyDescent="0.25">
      <c r="A376" s="136">
        <v>376</v>
      </c>
      <c r="B376" s="136" t="s">
        <v>3031</v>
      </c>
      <c r="C376" s="145" t="s">
        <v>6</v>
      </c>
      <c r="D376" s="138" t="s">
        <v>389</v>
      </c>
    </row>
    <row r="377" spans="1:4" ht="84" x14ac:dyDescent="0.25">
      <c r="A377" s="136">
        <v>377</v>
      </c>
      <c r="B377" s="136" t="s">
        <v>3032</v>
      </c>
      <c r="C377" s="145" t="s">
        <v>6</v>
      </c>
      <c r="D377" s="139" t="s">
        <v>390</v>
      </c>
    </row>
    <row r="378" spans="1:4" ht="96" x14ac:dyDescent="0.25">
      <c r="A378" s="136">
        <v>378</v>
      </c>
      <c r="B378" s="136" t="s">
        <v>3033</v>
      </c>
      <c r="C378" s="145" t="s">
        <v>6</v>
      </c>
      <c r="D378" s="138" t="s">
        <v>391</v>
      </c>
    </row>
    <row r="379" spans="1:4" ht="60" x14ac:dyDescent="0.25">
      <c r="A379" s="136">
        <v>379</v>
      </c>
      <c r="B379" s="136" t="s">
        <v>3034</v>
      </c>
      <c r="C379" s="145" t="s">
        <v>6</v>
      </c>
      <c r="D379" s="139" t="s">
        <v>392</v>
      </c>
    </row>
    <row r="380" spans="1:4" ht="72" x14ac:dyDescent="0.25">
      <c r="A380" s="136">
        <v>380</v>
      </c>
      <c r="B380" s="136" t="s">
        <v>3035</v>
      </c>
      <c r="C380" s="145" t="s">
        <v>6</v>
      </c>
      <c r="D380" s="138" t="s">
        <v>393</v>
      </c>
    </row>
    <row r="381" spans="1:4" ht="84" x14ac:dyDescent="0.25">
      <c r="A381" s="136">
        <v>381</v>
      </c>
      <c r="B381" s="136" t="s">
        <v>3036</v>
      </c>
      <c r="C381" s="145" t="s">
        <v>6</v>
      </c>
      <c r="D381" s="139" t="s">
        <v>394</v>
      </c>
    </row>
    <row r="382" spans="1:4" ht="72" x14ac:dyDescent="0.25">
      <c r="A382" s="136">
        <v>382</v>
      </c>
      <c r="B382" s="136" t="s">
        <v>3037</v>
      </c>
      <c r="C382" s="145" t="s">
        <v>6</v>
      </c>
      <c r="D382" s="138" t="s">
        <v>395</v>
      </c>
    </row>
    <row r="383" spans="1:4" ht="84" x14ac:dyDescent="0.25">
      <c r="A383" s="136">
        <v>383</v>
      </c>
      <c r="B383" s="136" t="s">
        <v>3038</v>
      </c>
      <c r="C383" s="145" t="s">
        <v>6</v>
      </c>
      <c r="D383" s="139" t="s">
        <v>396</v>
      </c>
    </row>
    <row r="384" spans="1:4" ht="72" x14ac:dyDescent="0.25">
      <c r="A384" s="136">
        <v>384</v>
      </c>
      <c r="B384" s="136" t="s">
        <v>3039</v>
      </c>
      <c r="C384" s="145" t="s">
        <v>6</v>
      </c>
      <c r="D384" s="138" t="s">
        <v>397</v>
      </c>
    </row>
    <row r="385" spans="1:4" ht="72" x14ac:dyDescent="0.25">
      <c r="A385" s="136">
        <v>385</v>
      </c>
      <c r="B385" s="136" t="s">
        <v>3040</v>
      </c>
      <c r="C385" s="145" t="s">
        <v>6</v>
      </c>
      <c r="D385" s="139" t="s">
        <v>398</v>
      </c>
    </row>
    <row r="386" spans="1:4" ht="72" x14ac:dyDescent="0.25">
      <c r="A386" s="136">
        <v>386</v>
      </c>
      <c r="B386" s="136" t="s">
        <v>3041</v>
      </c>
      <c r="C386" s="145" t="s">
        <v>6</v>
      </c>
      <c r="D386" s="138" t="s">
        <v>399</v>
      </c>
    </row>
    <row r="387" spans="1:4" ht="48" x14ac:dyDescent="0.25">
      <c r="A387" s="136">
        <v>387</v>
      </c>
      <c r="B387" s="136" t="s">
        <v>3042</v>
      </c>
      <c r="C387" s="145" t="s">
        <v>6</v>
      </c>
      <c r="D387" s="139" t="s">
        <v>400</v>
      </c>
    </row>
    <row r="388" spans="1:4" ht="72" x14ac:dyDescent="0.25">
      <c r="A388" s="136">
        <v>388</v>
      </c>
      <c r="B388" s="136" t="s">
        <v>3043</v>
      </c>
      <c r="C388" s="145" t="s">
        <v>6</v>
      </c>
      <c r="D388" s="138" t="s">
        <v>401</v>
      </c>
    </row>
    <row r="389" spans="1:4" ht="48" x14ac:dyDescent="0.25">
      <c r="A389" s="136">
        <v>389</v>
      </c>
      <c r="B389" s="136" t="s">
        <v>3044</v>
      </c>
      <c r="C389" s="145" t="s">
        <v>6</v>
      </c>
      <c r="D389" s="139" t="s">
        <v>402</v>
      </c>
    </row>
    <row r="390" spans="1:4" ht="36" x14ac:dyDescent="0.25">
      <c r="A390" s="136">
        <v>390</v>
      </c>
      <c r="B390" s="136" t="s">
        <v>3045</v>
      </c>
      <c r="C390" s="145" t="s">
        <v>6</v>
      </c>
      <c r="D390" s="138" t="s">
        <v>403</v>
      </c>
    </row>
    <row r="391" spans="1:4" ht="96" x14ac:dyDescent="0.25">
      <c r="A391" s="136">
        <v>391</v>
      </c>
      <c r="B391" s="136" t="s">
        <v>3046</v>
      </c>
      <c r="C391" s="145" t="s">
        <v>6</v>
      </c>
      <c r="D391" s="139" t="s">
        <v>2575</v>
      </c>
    </row>
    <row r="392" spans="1:4" ht="72" x14ac:dyDescent="0.25">
      <c r="A392" s="136">
        <v>392</v>
      </c>
      <c r="B392" s="136" t="s">
        <v>3047</v>
      </c>
      <c r="C392" s="145" t="s">
        <v>6</v>
      </c>
      <c r="D392" s="138" t="s">
        <v>405</v>
      </c>
    </row>
    <row r="393" spans="1:4" ht="60" x14ac:dyDescent="0.25">
      <c r="A393" s="136">
        <v>393</v>
      </c>
      <c r="B393" s="136" t="s">
        <v>3048</v>
      </c>
      <c r="C393" s="145" t="s">
        <v>6</v>
      </c>
      <c r="D393" s="139" t="s">
        <v>406</v>
      </c>
    </row>
    <row r="394" spans="1:4" ht="108" x14ac:dyDescent="0.25">
      <c r="A394" s="136">
        <v>394</v>
      </c>
      <c r="B394" s="136" t="s">
        <v>3049</v>
      </c>
      <c r="C394" s="145" t="s">
        <v>6</v>
      </c>
      <c r="D394" s="138" t="s">
        <v>407</v>
      </c>
    </row>
    <row r="395" spans="1:4" ht="84" x14ac:dyDescent="0.25">
      <c r="A395" s="136">
        <v>395</v>
      </c>
      <c r="B395" s="136" t="s">
        <v>3050</v>
      </c>
      <c r="C395" s="145" t="s">
        <v>6</v>
      </c>
      <c r="D395" s="139" t="s">
        <v>408</v>
      </c>
    </row>
    <row r="396" spans="1:4" ht="48" x14ac:dyDescent="0.25">
      <c r="A396" s="136">
        <v>396</v>
      </c>
      <c r="B396" s="136" t="s">
        <v>3051</v>
      </c>
      <c r="C396" s="145" t="s">
        <v>6</v>
      </c>
      <c r="D396" s="138" t="s">
        <v>409</v>
      </c>
    </row>
    <row r="397" spans="1:4" ht="84" x14ac:dyDescent="0.25">
      <c r="A397" s="136">
        <v>397</v>
      </c>
      <c r="B397" s="136" t="s">
        <v>3052</v>
      </c>
      <c r="C397" s="145" t="s">
        <v>6</v>
      </c>
      <c r="D397" s="139" t="s">
        <v>2574</v>
      </c>
    </row>
    <row r="398" spans="1:4" ht="60" x14ac:dyDescent="0.25">
      <c r="A398" s="136">
        <v>398</v>
      </c>
      <c r="B398" s="136" t="s">
        <v>3053</v>
      </c>
      <c r="C398" s="145" t="s">
        <v>6</v>
      </c>
      <c r="D398" s="138" t="s">
        <v>411</v>
      </c>
    </row>
    <row r="399" spans="1:4" ht="48" x14ac:dyDescent="0.25">
      <c r="A399" s="136">
        <v>399</v>
      </c>
      <c r="B399" s="136" t="s">
        <v>3054</v>
      </c>
      <c r="C399" s="145" t="s">
        <v>6</v>
      </c>
      <c r="D399" s="139" t="s">
        <v>412</v>
      </c>
    </row>
    <row r="400" spans="1:4" ht="48" x14ac:dyDescent="0.25">
      <c r="A400" s="136">
        <v>400</v>
      </c>
      <c r="B400" s="136" t="s">
        <v>3055</v>
      </c>
      <c r="C400" s="145" t="s">
        <v>6</v>
      </c>
      <c r="D400" s="138" t="s">
        <v>2573</v>
      </c>
    </row>
    <row r="401" spans="1:4" ht="48" x14ac:dyDescent="0.25">
      <c r="A401" s="136">
        <v>401</v>
      </c>
      <c r="B401" s="136" t="s">
        <v>3056</v>
      </c>
      <c r="C401" s="145" t="s">
        <v>6</v>
      </c>
      <c r="D401" s="139" t="s">
        <v>2544</v>
      </c>
    </row>
    <row r="402" spans="1:4" ht="84" x14ac:dyDescent="0.25">
      <c r="A402" s="136">
        <v>402</v>
      </c>
      <c r="B402" s="136" t="s">
        <v>3057</v>
      </c>
      <c r="C402" s="145" t="s">
        <v>6</v>
      </c>
      <c r="D402" s="138" t="s">
        <v>415</v>
      </c>
    </row>
    <row r="403" spans="1:4" ht="60" x14ac:dyDescent="0.25">
      <c r="A403" s="136">
        <v>403</v>
      </c>
      <c r="B403" s="136" t="s">
        <v>3058</v>
      </c>
      <c r="C403" s="145" t="s">
        <v>6</v>
      </c>
      <c r="D403" s="139" t="s">
        <v>416</v>
      </c>
    </row>
    <row r="404" spans="1:4" ht="84" x14ac:dyDescent="0.25">
      <c r="A404" s="136">
        <v>404</v>
      </c>
      <c r="B404" s="136" t="s">
        <v>3059</v>
      </c>
      <c r="C404" s="145" t="s">
        <v>6</v>
      </c>
      <c r="D404" s="138" t="s">
        <v>417</v>
      </c>
    </row>
    <row r="405" spans="1:4" ht="60" x14ac:dyDescent="0.25">
      <c r="A405" s="136">
        <v>405</v>
      </c>
      <c r="B405" s="136" t="s">
        <v>3060</v>
      </c>
      <c r="C405" s="145" t="s">
        <v>6</v>
      </c>
      <c r="D405" s="139" t="s">
        <v>418</v>
      </c>
    </row>
    <row r="406" spans="1:4" ht="72" x14ac:dyDescent="0.25">
      <c r="A406" s="136">
        <v>406</v>
      </c>
      <c r="B406" s="136" t="s">
        <v>3061</v>
      </c>
      <c r="C406" s="145" t="s">
        <v>6</v>
      </c>
      <c r="D406" s="138" t="s">
        <v>419</v>
      </c>
    </row>
    <row r="407" spans="1:4" ht="108" x14ac:dyDescent="0.25">
      <c r="A407" s="136">
        <v>407</v>
      </c>
      <c r="B407" s="136" t="s">
        <v>3062</v>
      </c>
      <c r="C407" s="145" t="s">
        <v>6</v>
      </c>
      <c r="D407" s="139" t="s">
        <v>420</v>
      </c>
    </row>
    <row r="408" spans="1:4" ht="36" x14ac:dyDescent="0.25">
      <c r="A408" s="136">
        <v>408</v>
      </c>
      <c r="B408" s="136" t="s">
        <v>3063</v>
      </c>
      <c r="C408" s="145" t="s">
        <v>6</v>
      </c>
      <c r="D408" s="138" t="s">
        <v>421</v>
      </c>
    </row>
    <row r="409" spans="1:4" ht="36" x14ac:dyDescent="0.25">
      <c r="A409" s="136">
        <v>409</v>
      </c>
      <c r="B409" s="136" t="s">
        <v>3064</v>
      </c>
      <c r="C409" s="145" t="s">
        <v>6</v>
      </c>
      <c r="D409" s="139" t="s">
        <v>422</v>
      </c>
    </row>
    <row r="410" spans="1:4" ht="60" x14ac:dyDescent="0.25">
      <c r="A410" s="136">
        <v>410</v>
      </c>
      <c r="B410" s="136" t="s">
        <v>3065</v>
      </c>
      <c r="C410" s="145" t="s">
        <v>6</v>
      </c>
      <c r="D410" s="138" t="s">
        <v>423</v>
      </c>
    </row>
    <row r="411" spans="1:4" ht="60" x14ac:dyDescent="0.25">
      <c r="A411" s="136">
        <v>411</v>
      </c>
      <c r="B411" s="136" t="s">
        <v>3066</v>
      </c>
      <c r="C411" s="145" t="s">
        <v>6</v>
      </c>
      <c r="D411" s="139" t="s">
        <v>424</v>
      </c>
    </row>
    <row r="412" spans="1:4" ht="36" x14ac:dyDescent="0.25">
      <c r="A412" s="136">
        <v>412</v>
      </c>
      <c r="B412" s="136" t="s">
        <v>3067</v>
      </c>
      <c r="C412" s="145" t="s">
        <v>6</v>
      </c>
      <c r="D412" s="138" t="s">
        <v>2611</v>
      </c>
    </row>
    <row r="413" spans="1:4" ht="36" x14ac:dyDescent="0.25">
      <c r="A413" s="136">
        <v>413</v>
      </c>
      <c r="B413" s="136" t="s">
        <v>3068</v>
      </c>
      <c r="C413" s="145" t="s">
        <v>6</v>
      </c>
      <c r="D413" s="139" t="s">
        <v>2610</v>
      </c>
    </row>
    <row r="414" spans="1:4" x14ac:dyDescent="0.25">
      <c r="A414" s="136">
        <v>414</v>
      </c>
      <c r="B414" s="136" t="s">
        <v>3069</v>
      </c>
      <c r="C414" s="145" t="s">
        <v>6</v>
      </c>
      <c r="D414" s="138" t="s">
        <v>427</v>
      </c>
    </row>
    <row r="415" spans="1:4" ht="36" x14ac:dyDescent="0.25">
      <c r="A415" s="136">
        <v>415</v>
      </c>
      <c r="B415" s="136" t="s">
        <v>3070</v>
      </c>
      <c r="C415" s="145" t="s">
        <v>6</v>
      </c>
      <c r="D415" s="139" t="s">
        <v>428</v>
      </c>
    </row>
    <row r="416" spans="1:4" ht="48" x14ac:dyDescent="0.25">
      <c r="A416" s="136">
        <v>416</v>
      </c>
      <c r="B416" s="136" t="s">
        <v>3071</v>
      </c>
      <c r="C416" s="145" t="s">
        <v>6</v>
      </c>
      <c r="D416" s="138" t="s">
        <v>429</v>
      </c>
    </row>
    <row r="417" spans="1:4" ht="60" x14ac:dyDescent="0.25">
      <c r="A417" s="136">
        <v>417</v>
      </c>
      <c r="B417" s="136" t="s">
        <v>3072</v>
      </c>
      <c r="C417" s="145" t="s">
        <v>6</v>
      </c>
      <c r="D417" s="139" t="s">
        <v>430</v>
      </c>
    </row>
    <row r="418" spans="1:4" ht="36" x14ac:dyDescent="0.25">
      <c r="A418" s="136">
        <v>418</v>
      </c>
      <c r="B418" s="136" t="s">
        <v>3073</v>
      </c>
      <c r="C418" s="145" t="s">
        <v>6</v>
      </c>
      <c r="D418" s="138" t="s">
        <v>431</v>
      </c>
    </row>
    <row r="419" spans="1:4" ht="24" x14ac:dyDescent="0.25">
      <c r="A419" s="136">
        <v>419</v>
      </c>
      <c r="B419" s="136" t="s">
        <v>3074</v>
      </c>
      <c r="C419" s="145" t="s">
        <v>6</v>
      </c>
      <c r="D419" s="139" t="s">
        <v>432</v>
      </c>
    </row>
    <row r="420" spans="1:4" ht="36" x14ac:dyDescent="0.25">
      <c r="A420" s="136">
        <v>420</v>
      </c>
      <c r="B420" s="136" t="s">
        <v>3075</v>
      </c>
      <c r="C420" s="145" t="s">
        <v>6</v>
      </c>
      <c r="D420" s="138" t="s">
        <v>433</v>
      </c>
    </row>
    <row r="421" spans="1:4" ht="24" x14ac:dyDescent="0.25">
      <c r="A421" s="136">
        <v>421</v>
      </c>
      <c r="B421" s="136" t="s">
        <v>3076</v>
      </c>
      <c r="C421" s="145" t="s">
        <v>6</v>
      </c>
      <c r="D421" s="139" t="s">
        <v>434</v>
      </c>
    </row>
    <row r="422" spans="1:4" ht="36" x14ac:dyDescent="0.25">
      <c r="A422" s="136">
        <v>422</v>
      </c>
      <c r="B422" s="136" t="s">
        <v>3077</v>
      </c>
      <c r="C422" s="145" t="s">
        <v>6</v>
      </c>
      <c r="D422" s="138" t="s">
        <v>435</v>
      </c>
    </row>
    <row r="423" spans="1:4" ht="36" x14ac:dyDescent="0.25">
      <c r="A423" s="136">
        <v>423</v>
      </c>
      <c r="B423" s="136" t="s">
        <v>3078</v>
      </c>
      <c r="C423" s="145" t="s">
        <v>6</v>
      </c>
      <c r="D423" s="139" t="s">
        <v>436</v>
      </c>
    </row>
    <row r="424" spans="1:4" ht="24" x14ac:dyDescent="0.25">
      <c r="A424" s="136">
        <v>424</v>
      </c>
      <c r="B424" s="136" t="s">
        <v>3079</v>
      </c>
      <c r="C424" s="145" t="s">
        <v>6</v>
      </c>
      <c r="D424" s="138" t="s">
        <v>437</v>
      </c>
    </row>
    <row r="425" spans="1:4" ht="24" x14ac:dyDescent="0.25">
      <c r="A425" s="136">
        <v>425</v>
      </c>
      <c r="B425" s="136" t="s">
        <v>3080</v>
      </c>
      <c r="C425" s="145" t="s">
        <v>6</v>
      </c>
      <c r="D425" s="139" t="s">
        <v>438</v>
      </c>
    </row>
    <row r="426" spans="1:4" ht="48" x14ac:dyDescent="0.25">
      <c r="A426" s="136">
        <v>426</v>
      </c>
      <c r="B426" s="136" t="s">
        <v>3081</v>
      </c>
      <c r="C426" s="145" t="s">
        <v>6</v>
      </c>
      <c r="D426" s="138" t="s">
        <v>439</v>
      </c>
    </row>
    <row r="427" spans="1:4" ht="36" x14ac:dyDescent="0.25">
      <c r="A427" s="136">
        <v>427</v>
      </c>
      <c r="B427" s="136" t="s">
        <v>3082</v>
      </c>
      <c r="C427" s="145" t="s">
        <v>6</v>
      </c>
      <c r="D427" s="139" t="s">
        <v>440</v>
      </c>
    </row>
    <row r="428" spans="1:4" ht="48" x14ac:dyDescent="0.25">
      <c r="A428" s="136">
        <v>428</v>
      </c>
      <c r="B428" s="136" t="s">
        <v>3083</v>
      </c>
      <c r="C428" s="145" t="s">
        <v>6</v>
      </c>
      <c r="D428" s="138" t="s">
        <v>441</v>
      </c>
    </row>
    <row r="429" spans="1:4" ht="48" x14ac:dyDescent="0.25">
      <c r="A429" s="136">
        <v>429</v>
      </c>
      <c r="B429" s="136" t="s">
        <v>3084</v>
      </c>
      <c r="C429" s="145" t="s">
        <v>6</v>
      </c>
      <c r="D429" s="139" t="s">
        <v>442</v>
      </c>
    </row>
    <row r="430" spans="1:4" ht="24" x14ac:dyDescent="0.25">
      <c r="A430" s="136">
        <v>430</v>
      </c>
      <c r="B430" s="136" t="s">
        <v>3085</v>
      </c>
      <c r="C430" s="145" t="s">
        <v>6</v>
      </c>
      <c r="D430" s="138" t="s">
        <v>443</v>
      </c>
    </row>
    <row r="431" spans="1:4" ht="24" x14ac:dyDescent="0.25">
      <c r="A431" s="136">
        <v>431</v>
      </c>
      <c r="B431" s="136" t="s">
        <v>3086</v>
      </c>
      <c r="C431" s="145" t="s">
        <v>6</v>
      </c>
      <c r="D431" s="139" t="s">
        <v>444</v>
      </c>
    </row>
    <row r="432" spans="1:4" ht="36" x14ac:dyDescent="0.25">
      <c r="A432" s="136">
        <v>432</v>
      </c>
      <c r="B432" s="136" t="s">
        <v>3087</v>
      </c>
      <c r="C432" s="145" t="s">
        <v>6</v>
      </c>
      <c r="D432" s="138" t="s">
        <v>445</v>
      </c>
    </row>
    <row r="433" spans="1:4" ht="36" x14ac:dyDescent="0.25">
      <c r="A433" s="136">
        <v>433</v>
      </c>
      <c r="B433" s="136" t="s">
        <v>3088</v>
      </c>
      <c r="C433" s="145" t="s">
        <v>6</v>
      </c>
      <c r="D433" s="139" t="s">
        <v>446</v>
      </c>
    </row>
    <row r="434" spans="1:4" ht="48" x14ac:dyDescent="0.25">
      <c r="A434" s="136">
        <v>434</v>
      </c>
      <c r="B434" s="136" t="s">
        <v>3089</v>
      </c>
      <c r="C434" s="145" t="s">
        <v>6</v>
      </c>
      <c r="D434" s="138" t="s">
        <v>447</v>
      </c>
    </row>
    <row r="435" spans="1:4" ht="36" x14ac:dyDescent="0.25">
      <c r="A435" s="136">
        <v>435</v>
      </c>
      <c r="B435" s="136" t="s">
        <v>3090</v>
      </c>
      <c r="C435" s="145" t="s">
        <v>6</v>
      </c>
      <c r="D435" s="139" t="s">
        <v>448</v>
      </c>
    </row>
    <row r="436" spans="1:4" ht="48" x14ac:dyDescent="0.25">
      <c r="A436" s="136">
        <v>436</v>
      </c>
      <c r="B436" s="136" t="s">
        <v>425</v>
      </c>
      <c r="C436" s="145" t="s">
        <v>6</v>
      </c>
      <c r="D436" s="138" t="s">
        <v>449</v>
      </c>
    </row>
    <row r="437" spans="1:4" x14ac:dyDescent="0.25">
      <c r="A437" s="136">
        <v>437</v>
      </c>
      <c r="B437" s="136" t="s">
        <v>3091</v>
      </c>
      <c r="C437" s="145" t="s">
        <v>6</v>
      </c>
      <c r="D437" s="139" t="s">
        <v>450</v>
      </c>
    </row>
    <row r="438" spans="1:4" ht="36" x14ac:dyDescent="0.25">
      <c r="A438" s="136">
        <v>438</v>
      </c>
      <c r="B438" s="136" t="s">
        <v>3092</v>
      </c>
      <c r="C438" s="145" t="s">
        <v>6</v>
      </c>
      <c r="D438" s="138" t="s">
        <v>451</v>
      </c>
    </row>
    <row r="439" spans="1:4" ht="24" x14ac:dyDescent="0.25">
      <c r="A439" s="136">
        <v>439</v>
      </c>
      <c r="B439" s="136" t="s">
        <v>3093</v>
      </c>
      <c r="C439" s="145" t="s">
        <v>6</v>
      </c>
      <c r="D439" s="139" t="s">
        <v>2577</v>
      </c>
    </row>
    <row r="440" spans="1:4" ht="48" x14ac:dyDescent="0.25">
      <c r="A440" s="136">
        <v>440</v>
      </c>
      <c r="B440" s="136" t="s">
        <v>3094</v>
      </c>
      <c r="C440" s="145" t="s">
        <v>6</v>
      </c>
      <c r="D440" s="138" t="s">
        <v>2548</v>
      </c>
    </row>
    <row r="441" spans="1:4" ht="36" x14ac:dyDescent="0.25">
      <c r="A441" s="136">
        <v>441</v>
      </c>
      <c r="B441" s="136" t="s">
        <v>3095</v>
      </c>
      <c r="C441" s="145" t="s">
        <v>6</v>
      </c>
      <c r="D441" s="139" t="s">
        <v>454</v>
      </c>
    </row>
    <row r="442" spans="1:4" ht="36" x14ac:dyDescent="0.25">
      <c r="A442" s="136">
        <v>442</v>
      </c>
      <c r="B442" s="136" t="s">
        <v>3096</v>
      </c>
      <c r="C442" s="145" t="s">
        <v>6</v>
      </c>
      <c r="D442" s="138" t="s">
        <v>455</v>
      </c>
    </row>
    <row r="443" spans="1:4" ht="72" x14ac:dyDescent="0.25">
      <c r="A443" s="136">
        <v>443</v>
      </c>
      <c r="B443" s="136" t="s">
        <v>3097</v>
      </c>
      <c r="C443" s="145" t="s">
        <v>6</v>
      </c>
      <c r="D443" s="139" t="s">
        <v>456</v>
      </c>
    </row>
    <row r="444" spans="1:4" ht="48" x14ac:dyDescent="0.25">
      <c r="A444" s="136">
        <v>444</v>
      </c>
      <c r="B444" s="136" t="s">
        <v>3098</v>
      </c>
      <c r="C444" s="145" t="s">
        <v>6</v>
      </c>
      <c r="D444" s="138" t="s">
        <v>457</v>
      </c>
    </row>
    <row r="445" spans="1:4" ht="48" x14ac:dyDescent="0.25">
      <c r="A445" s="136">
        <v>445</v>
      </c>
      <c r="B445" s="136" t="s">
        <v>3099</v>
      </c>
      <c r="C445" s="145" t="s">
        <v>6</v>
      </c>
      <c r="D445" s="139" t="s">
        <v>458</v>
      </c>
    </row>
    <row r="446" spans="1:4" ht="60" x14ac:dyDescent="0.25">
      <c r="A446" s="136">
        <v>446</v>
      </c>
      <c r="B446" s="136" t="s">
        <v>3100</v>
      </c>
      <c r="C446" s="145" t="s">
        <v>6</v>
      </c>
      <c r="D446" s="138" t="s">
        <v>459</v>
      </c>
    </row>
    <row r="447" spans="1:4" ht="48" x14ac:dyDescent="0.25">
      <c r="A447" s="136">
        <v>447</v>
      </c>
      <c r="B447" s="136" t="s">
        <v>3101</v>
      </c>
      <c r="C447" s="145" t="s">
        <v>6</v>
      </c>
      <c r="D447" s="139" t="s">
        <v>460</v>
      </c>
    </row>
    <row r="448" spans="1:4" ht="36" x14ac:dyDescent="0.25">
      <c r="A448" s="136">
        <v>448</v>
      </c>
      <c r="B448" s="136" t="s">
        <v>3102</v>
      </c>
      <c r="C448" s="145" t="s">
        <v>6</v>
      </c>
      <c r="D448" s="138" t="s">
        <v>461</v>
      </c>
    </row>
    <row r="449" spans="1:4" ht="48" x14ac:dyDescent="0.25">
      <c r="A449" s="136">
        <v>449</v>
      </c>
      <c r="B449" s="136" t="s">
        <v>3103</v>
      </c>
      <c r="C449" s="145" t="s">
        <v>6</v>
      </c>
      <c r="D449" s="139" t="s">
        <v>462</v>
      </c>
    </row>
    <row r="450" spans="1:4" ht="36" x14ac:dyDescent="0.25">
      <c r="A450" s="136">
        <v>450</v>
      </c>
      <c r="B450" s="136" t="s">
        <v>3104</v>
      </c>
      <c r="C450" s="145" t="s">
        <v>6</v>
      </c>
      <c r="D450" s="138" t="s">
        <v>463</v>
      </c>
    </row>
    <row r="451" spans="1:4" ht="48" x14ac:dyDescent="0.25">
      <c r="A451" s="136">
        <v>451</v>
      </c>
      <c r="B451" s="136" t="s">
        <v>3105</v>
      </c>
      <c r="C451" s="145" t="s">
        <v>6</v>
      </c>
      <c r="D451" s="139" t="s">
        <v>464</v>
      </c>
    </row>
    <row r="452" spans="1:4" ht="120" x14ac:dyDescent="0.25">
      <c r="A452" s="136">
        <v>452</v>
      </c>
      <c r="B452" s="136" t="s">
        <v>3106</v>
      </c>
      <c r="C452" s="146" t="s">
        <v>7</v>
      </c>
      <c r="D452" s="138" t="s">
        <v>465</v>
      </c>
    </row>
    <row r="453" spans="1:4" ht="24" x14ac:dyDescent="0.25">
      <c r="A453" s="136">
        <v>453</v>
      </c>
      <c r="B453" s="136" t="s">
        <v>3107</v>
      </c>
      <c r="C453" s="146" t="s">
        <v>7</v>
      </c>
      <c r="D453" s="139" t="s">
        <v>466</v>
      </c>
    </row>
    <row r="454" spans="1:4" x14ac:dyDescent="0.25">
      <c r="A454" s="136">
        <v>454</v>
      </c>
      <c r="B454" s="136" t="s">
        <v>3108</v>
      </c>
      <c r="C454" s="146" t="s">
        <v>7</v>
      </c>
      <c r="D454" s="138" t="s">
        <v>467</v>
      </c>
    </row>
    <row r="455" spans="1:4" x14ac:dyDescent="0.25">
      <c r="A455" s="136">
        <v>455</v>
      </c>
      <c r="B455" s="136" t="s">
        <v>3109</v>
      </c>
      <c r="C455" s="146" t="s">
        <v>7</v>
      </c>
      <c r="D455" s="139" t="s">
        <v>468</v>
      </c>
    </row>
    <row r="456" spans="1:4" ht="24" x14ac:dyDescent="0.25">
      <c r="A456" s="136">
        <v>456</v>
      </c>
      <c r="B456" s="136" t="s">
        <v>3110</v>
      </c>
      <c r="C456" s="146" t="s">
        <v>7</v>
      </c>
      <c r="D456" s="138" t="s">
        <v>469</v>
      </c>
    </row>
    <row r="457" spans="1:4" x14ac:dyDescent="0.25">
      <c r="A457" s="136">
        <v>457</v>
      </c>
      <c r="B457" s="136" t="s">
        <v>3111</v>
      </c>
      <c r="C457" s="146" t="s">
        <v>7</v>
      </c>
      <c r="D457" s="139" t="s">
        <v>470</v>
      </c>
    </row>
    <row r="458" spans="1:4" ht="36" x14ac:dyDescent="0.25">
      <c r="A458" s="136">
        <v>458</v>
      </c>
      <c r="B458" s="136" t="s">
        <v>3112</v>
      </c>
      <c r="C458" s="146" t="s">
        <v>7</v>
      </c>
      <c r="D458" s="138" t="s">
        <v>471</v>
      </c>
    </row>
    <row r="459" spans="1:4" ht="48" x14ac:dyDescent="0.25">
      <c r="A459" s="136">
        <v>459</v>
      </c>
      <c r="B459" s="136" t="s">
        <v>3113</v>
      </c>
      <c r="C459" s="146" t="s">
        <v>7</v>
      </c>
      <c r="D459" s="139" t="s">
        <v>472</v>
      </c>
    </row>
    <row r="460" spans="1:4" ht="48" x14ac:dyDescent="0.25">
      <c r="A460" s="136">
        <v>460</v>
      </c>
      <c r="B460" s="136" t="s">
        <v>3114</v>
      </c>
      <c r="C460" s="146" t="s">
        <v>7</v>
      </c>
      <c r="D460" s="138" t="s">
        <v>473</v>
      </c>
    </row>
    <row r="461" spans="1:4" ht="36" x14ac:dyDescent="0.25">
      <c r="A461" s="136">
        <v>461</v>
      </c>
      <c r="B461" s="136" t="s">
        <v>3115</v>
      </c>
      <c r="C461" s="147" t="s">
        <v>8</v>
      </c>
      <c r="D461" s="139" t="s">
        <v>474</v>
      </c>
    </row>
    <row r="462" spans="1:4" ht="24" x14ac:dyDescent="0.25">
      <c r="A462" s="136">
        <v>462</v>
      </c>
      <c r="B462" s="136" t="s">
        <v>3116</v>
      </c>
      <c r="C462" s="147" t="s">
        <v>8</v>
      </c>
      <c r="D462" s="138" t="s">
        <v>475</v>
      </c>
    </row>
    <row r="463" spans="1:4" ht="48" x14ac:dyDescent="0.25">
      <c r="A463" s="136">
        <v>463</v>
      </c>
      <c r="B463" s="136" t="s">
        <v>3117</v>
      </c>
      <c r="C463" s="147" t="s">
        <v>8</v>
      </c>
      <c r="D463" s="139" t="s">
        <v>476</v>
      </c>
    </row>
    <row r="464" spans="1:4" ht="24" x14ac:dyDescent="0.25">
      <c r="A464" s="136">
        <v>464</v>
      </c>
      <c r="B464" s="136" t="s">
        <v>3118</v>
      </c>
      <c r="C464" s="147" t="s">
        <v>8</v>
      </c>
      <c r="D464" s="138" t="s">
        <v>477</v>
      </c>
    </row>
    <row r="465" spans="1:4" ht="60" x14ac:dyDescent="0.25">
      <c r="A465" s="136">
        <v>465</v>
      </c>
      <c r="B465" s="136" t="s">
        <v>3119</v>
      </c>
      <c r="C465" s="148" t="s">
        <v>9</v>
      </c>
      <c r="D465" s="139" t="s">
        <v>478</v>
      </c>
    </row>
    <row r="466" spans="1:4" ht="60" x14ac:dyDescent="0.25">
      <c r="A466" s="136">
        <v>466</v>
      </c>
      <c r="B466" s="136" t="s">
        <v>3120</v>
      </c>
      <c r="C466" s="148" t="s">
        <v>9</v>
      </c>
      <c r="D466" s="138" t="s">
        <v>479</v>
      </c>
    </row>
    <row r="467" spans="1:4" ht="48" x14ac:dyDescent="0.25">
      <c r="A467" s="136">
        <v>467</v>
      </c>
      <c r="B467" s="136" t="s">
        <v>3121</v>
      </c>
      <c r="C467" s="148" t="s">
        <v>9</v>
      </c>
      <c r="D467" s="139" t="s">
        <v>480</v>
      </c>
    </row>
    <row r="468" spans="1:4" ht="36" x14ac:dyDescent="0.25">
      <c r="A468" s="136">
        <v>468</v>
      </c>
      <c r="B468" s="136" t="s">
        <v>3122</v>
      </c>
      <c r="C468" s="148" t="s">
        <v>9</v>
      </c>
      <c r="D468" s="138" t="s">
        <v>481</v>
      </c>
    </row>
    <row r="469" spans="1:4" ht="36" x14ac:dyDescent="0.25">
      <c r="A469" s="136">
        <v>469</v>
      </c>
      <c r="B469" s="136" t="s">
        <v>3123</v>
      </c>
      <c r="C469" s="148" t="s">
        <v>9</v>
      </c>
      <c r="D469" s="139" t="s">
        <v>482</v>
      </c>
    </row>
    <row r="470" spans="1:4" ht="36" x14ac:dyDescent="0.25">
      <c r="A470" s="136">
        <v>470</v>
      </c>
      <c r="B470" s="136" t="s">
        <v>3124</v>
      </c>
      <c r="C470" s="148" t="s">
        <v>9</v>
      </c>
      <c r="D470" s="138" t="s">
        <v>483</v>
      </c>
    </row>
    <row r="471" spans="1:4" ht="36" x14ac:dyDescent="0.25">
      <c r="A471" s="136">
        <v>471</v>
      </c>
      <c r="B471" s="136" t="s">
        <v>3125</v>
      </c>
      <c r="C471" s="149" t="s">
        <v>10</v>
      </c>
      <c r="D471" s="139" t="s">
        <v>484</v>
      </c>
    </row>
    <row r="472" spans="1:4" ht="24" x14ac:dyDescent="0.25">
      <c r="A472" s="136">
        <v>472</v>
      </c>
      <c r="B472" s="136" t="s">
        <v>3126</v>
      </c>
      <c r="C472" s="149" t="s">
        <v>10</v>
      </c>
      <c r="D472" s="138" t="s">
        <v>485</v>
      </c>
    </row>
    <row r="473" spans="1:4" ht="36" x14ac:dyDescent="0.25">
      <c r="A473" s="136">
        <v>473</v>
      </c>
      <c r="B473" s="136" t="s">
        <v>3127</v>
      </c>
      <c r="C473" s="149" t="s">
        <v>10</v>
      </c>
      <c r="D473" s="139" t="s">
        <v>486</v>
      </c>
    </row>
    <row r="474" spans="1:4" ht="48" x14ac:dyDescent="0.25">
      <c r="A474" s="136">
        <v>474</v>
      </c>
      <c r="B474" s="136" t="s">
        <v>3128</v>
      </c>
      <c r="C474" s="149" t="s">
        <v>10</v>
      </c>
      <c r="D474" s="138" t="s">
        <v>487</v>
      </c>
    </row>
    <row r="475" spans="1:4" ht="24" x14ac:dyDescent="0.25">
      <c r="A475" s="136">
        <v>475</v>
      </c>
      <c r="B475" s="136" t="s">
        <v>3129</v>
      </c>
      <c r="C475" s="149" t="s">
        <v>10</v>
      </c>
      <c r="D475" s="139" t="s">
        <v>488</v>
      </c>
    </row>
    <row r="476" spans="1:4" ht="36" x14ac:dyDescent="0.25">
      <c r="A476" s="136">
        <v>476</v>
      </c>
      <c r="B476" s="136" t="s">
        <v>3130</v>
      </c>
      <c r="C476" s="149" t="s">
        <v>10</v>
      </c>
      <c r="D476" s="138" t="s">
        <v>489</v>
      </c>
    </row>
    <row r="477" spans="1:4" ht="36" x14ac:dyDescent="0.25">
      <c r="A477" s="136">
        <v>477</v>
      </c>
      <c r="B477" s="136" t="s">
        <v>3131</v>
      </c>
      <c r="C477" s="149" t="s">
        <v>10</v>
      </c>
      <c r="D477" s="139" t="s">
        <v>490</v>
      </c>
    </row>
    <row r="478" spans="1:4" ht="60" x14ac:dyDescent="0.25">
      <c r="A478" s="136">
        <v>478</v>
      </c>
      <c r="B478" s="136" t="s">
        <v>3132</v>
      </c>
      <c r="C478" s="149" t="s">
        <v>10</v>
      </c>
      <c r="D478" s="138" t="s">
        <v>491</v>
      </c>
    </row>
    <row r="479" spans="1:4" ht="60" x14ac:dyDescent="0.25">
      <c r="A479" s="136">
        <v>479</v>
      </c>
      <c r="B479" s="136" t="s">
        <v>3133</v>
      </c>
      <c r="C479" s="149" t="s">
        <v>10</v>
      </c>
      <c r="D479" s="139" t="s">
        <v>492</v>
      </c>
    </row>
    <row r="480" spans="1:4" ht="48" x14ac:dyDescent="0.25">
      <c r="A480" s="136">
        <v>480</v>
      </c>
      <c r="B480" s="136" t="s">
        <v>3134</v>
      </c>
      <c r="C480" s="149" t="s">
        <v>10</v>
      </c>
      <c r="D480" s="138" t="s">
        <v>493</v>
      </c>
    </row>
    <row r="481" spans="1:4" ht="36" x14ac:dyDescent="0.25">
      <c r="A481" s="136">
        <v>481</v>
      </c>
      <c r="B481" s="136" t="s">
        <v>3135</v>
      </c>
      <c r="C481" s="149" t="s">
        <v>10</v>
      </c>
      <c r="D481" s="139" t="s">
        <v>494</v>
      </c>
    </row>
    <row r="482" spans="1:4" ht="48" x14ac:dyDescent="0.25">
      <c r="A482" s="136">
        <v>482</v>
      </c>
      <c r="B482" s="136" t="s">
        <v>3136</v>
      </c>
      <c r="C482" s="149" t="s">
        <v>10</v>
      </c>
      <c r="D482" s="138" t="s">
        <v>495</v>
      </c>
    </row>
    <row r="483" spans="1:4" ht="48" x14ac:dyDescent="0.25">
      <c r="A483" s="136">
        <v>483</v>
      </c>
      <c r="B483" s="136" t="s">
        <v>3137</v>
      </c>
      <c r="C483" s="149" t="s">
        <v>10</v>
      </c>
      <c r="D483" s="139" t="s">
        <v>496</v>
      </c>
    </row>
    <row r="484" spans="1:4" ht="72" x14ac:dyDescent="0.25">
      <c r="A484" s="136">
        <v>484</v>
      </c>
      <c r="B484" s="136" t="s">
        <v>3138</v>
      </c>
      <c r="C484" s="149" t="s">
        <v>10</v>
      </c>
      <c r="D484" s="138" t="s">
        <v>497</v>
      </c>
    </row>
    <row r="485" spans="1:4" ht="36" x14ac:dyDescent="0.25">
      <c r="A485" s="136">
        <v>485</v>
      </c>
      <c r="B485" s="136" t="s">
        <v>3139</v>
      </c>
      <c r="C485" s="150" t="s">
        <v>11</v>
      </c>
      <c r="D485" s="139" t="s">
        <v>498</v>
      </c>
    </row>
    <row r="486" spans="1:4" ht="36" x14ac:dyDescent="0.25">
      <c r="A486" s="136">
        <v>486</v>
      </c>
      <c r="B486" s="136" t="s">
        <v>3140</v>
      </c>
      <c r="C486" s="150" t="s">
        <v>11</v>
      </c>
      <c r="D486" s="138" t="s">
        <v>499</v>
      </c>
    </row>
    <row r="487" spans="1:4" ht="48" x14ac:dyDescent="0.25">
      <c r="A487" s="136">
        <v>487</v>
      </c>
      <c r="B487" s="136" t="s">
        <v>3141</v>
      </c>
      <c r="C487" s="150" t="s">
        <v>11</v>
      </c>
      <c r="D487" s="139" t="s">
        <v>500</v>
      </c>
    </row>
    <row r="488" spans="1:4" ht="48" x14ac:dyDescent="0.25">
      <c r="A488" s="136">
        <v>488</v>
      </c>
      <c r="B488" s="136" t="s">
        <v>3142</v>
      </c>
      <c r="C488" s="150" t="s">
        <v>11</v>
      </c>
      <c r="D488" s="138" t="s">
        <v>501</v>
      </c>
    </row>
    <row r="489" spans="1:4" ht="48" x14ac:dyDescent="0.25">
      <c r="A489" s="136">
        <v>489</v>
      </c>
      <c r="B489" s="136" t="s">
        <v>3143</v>
      </c>
      <c r="C489" s="150" t="s">
        <v>11</v>
      </c>
      <c r="D489" s="139" t="s">
        <v>502</v>
      </c>
    </row>
    <row r="490" spans="1:4" ht="84" x14ac:dyDescent="0.25">
      <c r="A490" s="136">
        <v>490</v>
      </c>
      <c r="B490" s="136" t="s">
        <v>3144</v>
      </c>
      <c r="C490" s="150" t="s">
        <v>11</v>
      </c>
      <c r="D490" s="138" t="s">
        <v>503</v>
      </c>
    </row>
    <row r="491" spans="1:4" ht="60" x14ac:dyDescent="0.25">
      <c r="A491" s="136">
        <v>491</v>
      </c>
      <c r="B491" s="136" t="s">
        <v>3145</v>
      </c>
      <c r="C491" s="150" t="s">
        <v>11</v>
      </c>
      <c r="D491" s="139" t="s">
        <v>504</v>
      </c>
    </row>
    <row r="492" spans="1:4" ht="84" x14ac:dyDescent="0.25">
      <c r="A492" s="136">
        <v>492</v>
      </c>
      <c r="B492" s="136" t="s">
        <v>3146</v>
      </c>
      <c r="C492" s="150" t="s">
        <v>11</v>
      </c>
      <c r="D492" s="138" t="s">
        <v>505</v>
      </c>
    </row>
    <row r="493" spans="1:4" ht="108" x14ac:dyDescent="0.25">
      <c r="A493" s="136">
        <v>493</v>
      </c>
      <c r="B493" s="136" t="s">
        <v>3147</v>
      </c>
      <c r="C493" s="150" t="s">
        <v>11</v>
      </c>
      <c r="D493" s="139" t="s">
        <v>506</v>
      </c>
    </row>
    <row r="494" spans="1:4" ht="60" x14ac:dyDescent="0.25">
      <c r="A494" s="136">
        <v>494</v>
      </c>
      <c r="B494" s="136" t="s">
        <v>3148</v>
      </c>
      <c r="C494" s="150" t="s">
        <v>11</v>
      </c>
      <c r="D494" s="138" t="s">
        <v>507</v>
      </c>
    </row>
    <row r="495" spans="1:4" ht="36" x14ac:dyDescent="0.25">
      <c r="A495" s="136">
        <v>495</v>
      </c>
      <c r="B495" s="136" t="s">
        <v>3149</v>
      </c>
      <c r="C495" s="150" t="s">
        <v>11</v>
      </c>
      <c r="D495" s="139" t="s">
        <v>508</v>
      </c>
    </row>
    <row r="496" spans="1:4" ht="48" x14ac:dyDescent="0.25">
      <c r="A496" s="136">
        <v>496</v>
      </c>
      <c r="B496" s="136" t="s">
        <v>3150</v>
      </c>
      <c r="C496" s="151" t="s">
        <v>12</v>
      </c>
      <c r="D496" s="138" t="s">
        <v>509</v>
      </c>
    </row>
    <row r="497" spans="1:4" ht="48" x14ac:dyDescent="0.25">
      <c r="A497" s="136">
        <v>497</v>
      </c>
      <c r="B497" s="136" t="s">
        <v>3151</v>
      </c>
      <c r="C497" s="151" t="s">
        <v>12</v>
      </c>
      <c r="D497" s="139" t="s">
        <v>2622</v>
      </c>
    </row>
    <row r="498" spans="1:4" ht="96" x14ac:dyDescent="0.25">
      <c r="A498" s="136">
        <v>498</v>
      </c>
      <c r="B498" s="136" t="s">
        <v>3152</v>
      </c>
      <c r="C498" s="151" t="s">
        <v>12</v>
      </c>
      <c r="D498" s="138" t="s">
        <v>511</v>
      </c>
    </row>
    <row r="499" spans="1:4" ht="60" x14ac:dyDescent="0.25">
      <c r="A499" s="136">
        <v>499</v>
      </c>
      <c r="B499" s="136" t="s">
        <v>3153</v>
      </c>
      <c r="C499" s="151" t="s">
        <v>12</v>
      </c>
      <c r="D499" s="139" t="s">
        <v>512</v>
      </c>
    </row>
    <row r="500" spans="1:4" ht="60" x14ac:dyDescent="0.25">
      <c r="A500" s="136">
        <v>500</v>
      </c>
      <c r="B500" s="136" t="s">
        <v>3154</v>
      </c>
      <c r="C500" s="151" t="s">
        <v>12</v>
      </c>
      <c r="D500" s="138" t="s">
        <v>513</v>
      </c>
    </row>
    <row r="501" spans="1:4" ht="48" x14ac:dyDescent="0.25">
      <c r="A501" s="136">
        <v>501</v>
      </c>
      <c r="B501" s="136" t="s">
        <v>3155</v>
      </c>
      <c r="C501" s="151" t="s">
        <v>12</v>
      </c>
      <c r="D501" s="139" t="s">
        <v>514</v>
      </c>
    </row>
    <row r="502" spans="1:4" ht="36" x14ac:dyDescent="0.25">
      <c r="A502" s="136">
        <v>502</v>
      </c>
      <c r="B502" s="136" t="s">
        <v>3156</v>
      </c>
      <c r="C502" s="151" t="s">
        <v>12</v>
      </c>
      <c r="D502" s="138" t="s">
        <v>515</v>
      </c>
    </row>
    <row r="503" spans="1:4" x14ac:dyDescent="0.25">
      <c r="A503" s="136">
        <v>503</v>
      </c>
      <c r="B503" s="136" t="s">
        <v>3157</v>
      </c>
      <c r="C503" s="152" t="s">
        <v>13</v>
      </c>
      <c r="D503" s="139" t="s">
        <v>516</v>
      </c>
    </row>
    <row r="504" spans="1:4" ht="36" x14ac:dyDescent="0.25">
      <c r="A504" s="136">
        <v>504</v>
      </c>
      <c r="B504" s="136" t="s">
        <v>3158</v>
      </c>
      <c r="C504" s="152" t="s">
        <v>13</v>
      </c>
      <c r="D504" s="138" t="s">
        <v>517</v>
      </c>
    </row>
    <row r="505" spans="1:4" ht="24" x14ac:dyDescent="0.25">
      <c r="A505" s="136">
        <v>505</v>
      </c>
      <c r="B505" s="136" t="s">
        <v>3159</v>
      </c>
      <c r="C505" s="152" t="s">
        <v>13</v>
      </c>
      <c r="D505" s="139" t="s">
        <v>518</v>
      </c>
    </row>
    <row r="506" spans="1:4" ht="24" x14ac:dyDescent="0.25">
      <c r="A506" s="136">
        <v>506</v>
      </c>
      <c r="B506" s="136" t="s">
        <v>3160</v>
      </c>
      <c r="C506" s="152" t="s">
        <v>13</v>
      </c>
      <c r="D506" s="138" t="s">
        <v>519</v>
      </c>
    </row>
    <row r="507" spans="1:4" ht="24" x14ac:dyDescent="0.25">
      <c r="A507" s="136">
        <v>507</v>
      </c>
      <c r="B507" s="136" t="s">
        <v>3161</v>
      </c>
      <c r="C507" s="152" t="s">
        <v>13</v>
      </c>
      <c r="D507" s="139" t="s">
        <v>520</v>
      </c>
    </row>
    <row r="508" spans="1:4" ht="24" x14ac:dyDescent="0.25">
      <c r="A508" s="136">
        <v>508</v>
      </c>
      <c r="B508" s="136" t="s">
        <v>3162</v>
      </c>
      <c r="C508" s="152" t="s">
        <v>13</v>
      </c>
      <c r="D508" s="138" t="s">
        <v>521</v>
      </c>
    </row>
    <row r="509" spans="1:4" ht="24" x14ac:dyDescent="0.25">
      <c r="A509" s="136">
        <v>509</v>
      </c>
      <c r="B509" s="136" t="s">
        <v>3163</v>
      </c>
      <c r="C509" s="152" t="s">
        <v>13</v>
      </c>
      <c r="D509" s="139" t="s">
        <v>522</v>
      </c>
    </row>
    <row r="510" spans="1:4" ht="60" x14ac:dyDescent="0.25">
      <c r="A510" s="136">
        <v>510</v>
      </c>
      <c r="B510" s="136" t="s">
        <v>3164</v>
      </c>
      <c r="C510" s="152" t="s">
        <v>13</v>
      </c>
      <c r="D510" s="138" t="s">
        <v>523</v>
      </c>
    </row>
    <row r="511" spans="1:4" ht="48" x14ac:dyDescent="0.25">
      <c r="A511" s="136">
        <v>511</v>
      </c>
      <c r="B511" s="136" t="s">
        <v>3165</v>
      </c>
      <c r="C511" s="152" t="s">
        <v>13</v>
      </c>
      <c r="D511" s="139" t="s">
        <v>524</v>
      </c>
    </row>
    <row r="512" spans="1:4" ht="24" x14ac:dyDescent="0.25">
      <c r="A512" s="136">
        <v>512</v>
      </c>
      <c r="B512" s="136" t="s">
        <v>3166</v>
      </c>
      <c r="C512" s="152" t="s">
        <v>13</v>
      </c>
      <c r="D512" s="138" t="s">
        <v>525</v>
      </c>
    </row>
    <row r="513" spans="1:4" ht="72" x14ac:dyDescent="0.25">
      <c r="A513" s="136">
        <v>513</v>
      </c>
      <c r="B513" s="136" t="s">
        <v>3167</v>
      </c>
      <c r="C513" s="153" t="s">
        <v>14</v>
      </c>
      <c r="D513" s="139" t="s">
        <v>526</v>
      </c>
    </row>
    <row r="514" spans="1:4" ht="108" x14ac:dyDescent="0.25">
      <c r="A514" s="136">
        <v>514</v>
      </c>
      <c r="B514" s="136" t="s">
        <v>3168</v>
      </c>
      <c r="C514" s="153" t="s">
        <v>14</v>
      </c>
      <c r="D514" s="138" t="s">
        <v>527</v>
      </c>
    </row>
    <row r="515" spans="1:4" ht="60" x14ac:dyDescent="0.25">
      <c r="A515" s="136">
        <v>515</v>
      </c>
      <c r="B515" s="136" t="s">
        <v>3169</v>
      </c>
      <c r="C515" s="153" t="s">
        <v>14</v>
      </c>
      <c r="D515" s="139" t="s">
        <v>528</v>
      </c>
    </row>
    <row r="516" spans="1:4" ht="24" x14ac:dyDescent="0.25">
      <c r="A516" s="136">
        <v>516</v>
      </c>
      <c r="B516" s="136" t="s">
        <v>3170</v>
      </c>
      <c r="C516" s="153" t="s">
        <v>14</v>
      </c>
      <c r="D516" s="138" t="s">
        <v>2552</v>
      </c>
    </row>
    <row r="517" spans="1:4" ht="48" x14ac:dyDescent="0.25">
      <c r="A517" s="136">
        <v>517</v>
      </c>
      <c r="B517" s="136" t="s">
        <v>3171</v>
      </c>
      <c r="C517" s="153" t="s">
        <v>14</v>
      </c>
      <c r="D517" s="139" t="s">
        <v>2557</v>
      </c>
    </row>
    <row r="518" spans="1:4" ht="24" x14ac:dyDescent="0.25">
      <c r="A518" s="136">
        <v>518</v>
      </c>
      <c r="B518" s="136" t="s">
        <v>3172</v>
      </c>
      <c r="C518" s="153" t="s">
        <v>14</v>
      </c>
      <c r="D518" s="138" t="s">
        <v>2560</v>
      </c>
    </row>
    <row r="519" spans="1:4" ht="36" x14ac:dyDescent="0.25">
      <c r="A519" s="136">
        <v>519</v>
      </c>
      <c r="B519" s="136" t="s">
        <v>3173</v>
      </c>
      <c r="C519" s="153" t="s">
        <v>14</v>
      </c>
      <c r="D519" s="139" t="s">
        <v>2561</v>
      </c>
    </row>
    <row r="520" spans="1:4" ht="36" x14ac:dyDescent="0.25">
      <c r="A520" s="136">
        <v>520</v>
      </c>
      <c r="B520" s="136" t="s">
        <v>3174</v>
      </c>
      <c r="C520" s="153" t="s">
        <v>14</v>
      </c>
      <c r="D520" s="138" t="s">
        <v>2562</v>
      </c>
    </row>
    <row r="521" spans="1:4" ht="48" x14ac:dyDescent="0.25">
      <c r="A521" s="136">
        <v>521</v>
      </c>
      <c r="B521" s="136" t="s">
        <v>3175</v>
      </c>
      <c r="C521" s="153" t="s">
        <v>14</v>
      </c>
      <c r="D521" s="139" t="s">
        <v>2563</v>
      </c>
    </row>
    <row r="522" spans="1:4" ht="36" x14ac:dyDescent="0.25">
      <c r="A522" s="136">
        <v>522</v>
      </c>
      <c r="B522" s="136" t="s">
        <v>3176</v>
      </c>
      <c r="C522" s="153" t="s">
        <v>14</v>
      </c>
      <c r="D522" s="138" t="s">
        <v>2564</v>
      </c>
    </row>
    <row r="523" spans="1:4" ht="36" x14ac:dyDescent="0.25">
      <c r="A523" s="136">
        <v>523</v>
      </c>
      <c r="B523" s="136" t="s">
        <v>3177</v>
      </c>
      <c r="C523" s="153" t="s">
        <v>14</v>
      </c>
      <c r="D523" s="139" t="s">
        <v>2567</v>
      </c>
    </row>
    <row r="524" spans="1:4" ht="36" x14ac:dyDescent="0.25">
      <c r="A524" s="136">
        <v>524</v>
      </c>
      <c r="B524" s="136" t="s">
        <v>3178</v>
      </c>
      <c r="C524" s="153" t="s">
        <v>14</v>
      </c>
      <c r="D524" s="138" t="s">
        <v>2571</v>
      </c>
    </row>
    <row r="525" spans="1:4" ht="48" x14ac:dyDescent="0.25">
      <c r="A525" s="136">
        <v>525</v>
      </c>
      <c r="B525" s="136" t="s">
        <v>3179</v>
      </c>
      <c r="C525" s="153" t="s">
        <v>14</v>
      </c>
      <c r="D525" s="139" t="s">
        <v>2579</v>
      </c>
    </row>
    <row r="526" spans="1:4" ht="36" x14ac:dyDescent="0.25">
      <c r="A526" s="136">
        <v>526</v>
      </c>
      <c r="B526" s="136" t="s">
        <v>3180</v>
      </c>
      <c r="C526" s="153" t="s">
        <v>14</v>
      </c>
      <c r="D526" s="138" t="s">
        <v>2580</v>
      </c>
    </row>
    <row r="527" spans="1:4" ht="24" x14ac:dyDescent="0.25">
      <c r="A527" s="136">
        <v>527</v>
      </c>
      <c r="B527" s="136" t="s">
        <v>3181</v>
      </c>
      <c r="C527" s="153" t="s">
        <v>14</v>
      </c>
      <c r="D527" s="139" t="s">
        <v>2581</v>
      </c>
    </row>
    <row r="528" spans="1:4" ht="24" x14ac:dyDescent="0.25">
      <c r="A528" s="136">
        <v>528</v>
      </c>
      <c r="B528" s="136" t="s">
        <v>3182</v>
      </c>
      <c r="C528" s="153" t="s">
        <v>14</v>
      </c>
      <c r="D528" s="138" t="s">
        <v>2582</v>
      </c>
    </row>
    <row r="529" spans="1:4" ht="36" x14ac:dyDescent="0.25">
      <c r="A529" s="136">
        <v>529</v>
      </c>
      <c r="B529" s="136" t="s">
        <v>3183</v>
      </c>
      <c r="C529" s="153" t="s">
        <v>14</v>
      </c>
      <c r="D529" s="139" t="s">
        <v>2583</v>
      </c>
    </row>
    <row r="530" spans="1:4" ht="48" x14ac:dyDescent="0.25">
      <c r="A530" s="136">
        <v>530</v>
      </c>
      <c r="B530" s="136" t="s">
        <v>3184</v>
      </c>
      <c r="C530" s="153" t="s">
        <v>14</v>
      </c>
      <c r="D530" s="138" t="s">
        <v>2584</v>
      </c>
    </row>
    <row r="531" spans="1:4" ht="36" x14ac:dyDescent="0.25">
      <c r="A531" s="136">
        <v>531</v>
      </c>
      <c r="B531" s="136" t="s">
        <v>3185</v>
      </c>
      <c r="C531" s="153" t="s">
        <v>14</v>
      </c>
      <c r="D531" s="139" t="s">
        <v>2585</v>
      </c>
    </row>
    <row r="532" spans="1:4" ht="36" x14ac:dyDescent="0.25">
      <c r="A532" s="136">
        <v>532</v>
      </c>
      <c r="B532" s="136" t="s">
        <v>3186</v>
      </c>
      <c r="C532" s="153" t="s">
        <v>14</v>
      </c>
      <c r="D532" s="138" t="s">
        <v>2604</v>
      </c>
    </row>
    <row r="533" spans="1:4" ht="48" x14ac:dyDescent="0.25">
      <c r="A533" s="136">
        <v>533</v>
      </c>
      <c r="B533" s="136" t="s">
        <v>3187</v>
      </c>
      <c r="C533" s="153" t="s">
        <v>14</v>
      </c>
      <c r="D533" s="139" t="s">
        <v>2586</v>
      </c>
    </row>
    <row r="534" spans="1:4" ht="60" x14ac:dyDescent="0.25">
      <c r="A534" s="136">
        <v>534</v>
      </c>
      <c r="B534" s="136" t="s">
        <v>3188</v>
      </c>
      <c r="C534" s="153" t="s">
        <v>14</v>
      </c>
      <c r="D534" s="138" t="s">
        <v>2587</v>
      </c>
    </row>
    <row r="535" spans="1:4" ht="48" x14ac:dyDescent="0.25">
      <c r="A535" s="136">
        <v>535</v>
      </c>
      <c r="B535" s="136" t="s">
        <v>3189</v>
      </c>
      <c r="C535" s="153" t="s">
        <v>14</v>
      </c>
      <c r="D535" s="139" t="s">
        <v>2588</v>
      </c>
    </row>
    <row r="536" spans="1:4" ht="48" x14ac:dyDescent="0.25">
      <c r="A536" s="136">
        <v>536</v>
      </c>
      <c r="B536" s="136" t="s">
        <v>3190</v>
      </c>
      <c r="C536" s="153" t="s">
        <v>14</v>
      </c>
      <c r="D536" s="138" t="s">
        <v>2589</v>
      </c>
    </row>
    <row r="537" spans="1:4" ht="60" x14ac:dyDescent="0.25">
      <c r="A537" s="136">
        <v>537</v>
      </c>
      <c r="B537" s="136" t="s">
        <v>3191</v>
      </c>
      <c r="C537" s="153" t="s">
        <v>14</v>
      </c>
      <c r="D537" s="139" t="s">
        <v>2590</v>
      </c>
    </row>
    <row r="538" spans="1:4" ht="72" x14ac:dyDescent="0.25">
      <c r="A538" s="136">
        <v>538</v>
      </c>
      <c r="B538" s="136" t="s">
        <v>3192</v>
      </c>
      <c r="C538" s="153" t="s">
        <v>14</v>
      </c>
      <c r="D538" s="138" t="s">
        <v>2591</v>
      </c>
    </row>
    <row r="539" spans="1:4" ht="60" x14ac:dyDescent="0.25">
      <c r="A539" s="136">
        <v>539</v>
      </c>
      <c r="B539" s="136" t="s">
        <v>3193</v>
      </c>
      <c r="C539" s="153" t="s">
        <v>14</v>
      </c>
      <c r="D539" s="139" t="s">
        <v>2592</v>
      </c>
    </row>
    <row r="540" spans="1:4" ht="60" x14ac:dyDescent="0.25">
      <c r="A540" s="136">
        <v>540</v>
      </c>
      <c r="B540" s="136" t="s">
        <v>3194</v>
      </c>
      <c r="C540" s="153" t="s">
        <v>14</v>
      </c>
      <c r="D540" s="138" t="s">
        <v>2605</v>
      </c>
    </row>
    <row r="541" spans="1:4" ht="48" x14ac:dyDescent="0.25">
      <c r="A541" s="136">
        <v>541</v>
      </c>
      <c r="B541" s="136" t="s">
        <v>3195</v>
      </c>
      <c r="C541" s="153" t="s">
        <v>14</v>
      </c>
      <c r="D541" s="139" t="s">
        <v>2593</v>
      </c>
    </row>
    <row r="542" spans="1:4" ht="60" x14ac:dyDescent="0.25">
      <c r="A542" s="136">
        <v>542</v>
      </c>
      <c r="B542" s="136" t="s">
        <v>3196</v>
      </c>
      <c r="C542" s="153" t="s">
        <v>14</v>
      </c>
      <c r="D542" s="138" t="s">
        <v>2594</v>
      </c>
    </row>
    <row r="543" spans="1:4" ht="48" x14ac:dyDescent="0.25">
      <c r="A543" s="136">
        <v>543</v>
      </c>
      <c r="B543" s="136" t="s">
        <v>3197</v>
      </c>
      <c r="C543" s="153" t="s">
        <v>14</v>
      </c>
      <c r="D543" s="139" t="s">
        <v>2599</v>
      </c>
    </row>
    <row r="544" spans="1:4" ht="48" x14ac:dyDescent="0.25">
      <c r="A544" s="136">
        <v>544</v>
      </c>
      <c r="B544" s="136" t="s">
        <v>3198</v>
      </c>
      <c r="C544" s="153" t="s">
        <v>14</v>
      </c>
      <c r="D544" s="138" t="s">
        <v>2598</v>
      </c>
    </row>
    <row r="545" spans="1:4" ht="60" x14ac:dyDescent="0.25">
      <c r="A545" s="136">
        <v>545</v>
      </c>
      <c r="B545" s="136" t="s">
        <v>3199</v>
      </c>
      <c r="C545" s="153" t="s">
        <v>14</v>
      </c>
      <c r="D545" s="139" t="s">
        <v>2597</v>
      </c>
    </row>
    <row r="546" spans="1:4" ht="72" x14ac:dyDescent="0.25">
      <c r="A546" s="136">
        <v>546</v>
      </c>
      <c r="B546" s="136" t="s">
        <v>3200</v>
      </c>
      <c r="C546" s="153" t="s">
        <v>14</v>
      </c>
      <c r="D546" s="138" t="s">
        <v>2595</v>
      </c>
    </row>
    <row r="547" spans="1:4" ht="60" x14ac:dyDescent="0.25">
      <c r="A547" s="136">
        <v>547</v>
      </c>
      <c r="B547" s="136" t="s">
        <v>3201</v>
      </c>
      <c r="C547" s="153" t="s">
        <v>14</v>
      </c>
      <c r="D547" s="139" t="s">
        <v>2596</v>
      </c>
    </row>
    <row r="548" spans="1:4" ht="60" x14ac:dyDescent="0.25">
      <c r="A548" s="136">
        <v>548</v>
      </c>
      <c r="B548" s="136" t="s">
        <v>3202</v>
      </c>
      <c r="C548" s="153" t="s">
        <v>14</v>
      </c>
      <c r="D548" s="138" t="s">
        <v>2606</v>
      </c>
    </row>
    <row r="549" spans="1:4" ht="48" x14ac:dyDescent="0.25">
      <c r="A549" s="136">
        <v>549</v>
      </c>
      <c r="B549" s="136" t="s">
        <v>3203</v>
      </c>
      <c r="C549" s="153" t="s">
        <v>14</v>
      </c>
      <c r="D549" s="139" t="s">
        <v>2600</v>
      </c>
    </row>
    <row r="550" spans="1:4" ht="36" x14ac:dyDescent="0.25">
      <c r="A550" s="136">
        <v>550</v>
      </c>
      <c r="B550" s="136" t="s">
        <v>3204</v>
      </c>
      <c r="C550" s="153" t="s">
        <v>14</v>
      </c>
      <c r="D550" s="138" t="s">
        <v>2601</v>
      </c>
    </row>
    <row r="551" spans="1:4" ht="48" x14ac:dyDescent="0.25">
      <c r="A551" s="136">
        <v>551</v>
      </c>
      <c r="B551" s="136" t="s">
        <v>3205</v>
      </c>
      <c r="C551" s="153" t="s">
        <v>14</v>
      </c>
      <c r="D551" s="139" t="s">
        <v>2602</v>
      </c>
    </row>
    <row r="552" spans="1:4" ht="48" x14ac:dyDescent="0.25">
      <c r="A552" s="136">
        <v>552</v>
      </c>
      <c r="B552" s="136" t="s">
        <v>3206</v>
      </c>
      <c r="C552" s="153" t="s">
        <v>14</v>
      </c>
      <c r="D552" s="138" t="s">
        <v>2603</v>
      </c>
    </row>
    <row r="553" spans="1:4" ht="36" x14ac:dyDescent="0.25">
      <c r="A553" s="136">
        <v>553</v>
      </c>
      <c r="B553" s="136" t="s">
        <v>3207</v>
      </c>
      <c r="C553" s="153" t="s">
        <v>14</v>
      </c>
      <c r="D553" s="139" t="s">
        <v>2615</v>
      </c>
    </row>
    <row r="554" spans="1:4" ht="72" x14ac:dyDescent="0.25">
      <c r="A554" s="136">
        <v>554</v>
      </c>
      <c r="B554" s="136" t="s">
        <v>3208</v>
      </c>
      <c r="C554" s="153" t="s">
        <v>14</v>
      </c>
      <c r="D554" s="138" t="s">
        <v>2617</v>
      </c>
    </row>
    <row r="555" spans="1:4" ht="48" x14ac:dyDescent="0.25">
      <c r="A555" s="136">
        <v>555</v>
      </c>
      <c r="B555" s="136" t="s">
        <v>3209</v>
      </c>
      <c r="C555" s="153" t="s">
        <v>14</v>
      </c>
      <c r="D555" s="139" t="s">
        <v>2618</v>
      </c>
    </row>
    <row r="556" spans="1:4" ht="60" x14ac:dyDescent="0.25">
      <c r="A556" s="136">
        <v>556</v>
      </c>
      <c r="B556" s="136" t="s">
        <v>3210</v>
      </c>
      <c r="C556" s="153" t="s">
        <v>14</v>
      </c>
      <c r="D556" s="138" t="s">
        <v>2620</v>
      </c>
    </row>
    <row r="557" spans="1:4" ht="48" x14ac:dyDescent="0.25">
      <c r="A557" s="136">
        <v>557</v>
      </c>
      <c r="B557" s="136" t="s">
        <v>3211</v>
      </c>
      <c r="C557" s="153" t="s">
        <v>14</v>
      </c>
      <c r="D557" s="139" t="s">
        <v>2619</v>
      </c>
    </row>
    <row r="558" spans="1:4" ht="72" x14ac:dyDescent="0.25">
      <c r="A558" s="136">
        <v>558</v>
      </c>
      <c r="B558" s="136" t="s">
        <v>3212</v>
      </c>
      <c r="C558" s="153" t="s">
        <v>14</v>
      </c>
      <c r="D558" s="138" t="s">
        <v>2624</v>
      </c>
    </row>
    <row r="559" spans="1:4" ht="36" x14ac:dyDescent="0.25">
      <c r="A559" s="136">
        <v>559</v>
      </c>
      <c r="B559" s="136" t="s">
        <v>3213</v>
      </c>
      <c r="C559" s="153" t="s">
        <v>14</v>
      </c>
      <c r="D559" s="139" t="s">
        <v>2625</v>
      </c>
    </row>
    <row r="560" spans="1:4" ht="36" x14ac:dyDescent="0.25">
      <c r="A560" s="136">
        <v>560</v>
      </c>
      <c r="B560" s="136" t="s">
        <v>3214</v>
      </c>
      <c r="C560" s="153" t="s">
        <v>14</v>
      </c>
      <c r="D560" s="138" t="s">
        <v>529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Master Register - Structured</vt:lpstr>
      <vt:lpstr>COLUMN_MAP</vt:lpstr>
      <vt:lpstr>REGISTER_INTERLINK</vt:lpstr>
      <vt:lpstr>Rating &amp; Analysis</vt:lpstr>
      <vt:lpstr>Compliance Tracker</vt:lpstr>
      <vt:lpstr>Statutory Forms Matrix</vt:lpstr>
      <vt:lpstr>Audit Readiness</vt:lpstr>
      <vt:lpstr>Column names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Sayed Iftekhar Ali</cp:lastModifiedBy>
  <cp:revision>0</cp:revision>
  <dcterms:created xsi:type="dcterms:W3CDTF">2026-05-25T18:40:48Z</dcterms:created>
  <dcterms:modified xsi:type="dcterms:W3CDTF">2026-05-31T18:22:18Z</dcterms:modified>
  <dc:language>en-US</dc:language>
</cp:coreProperties>
</file>