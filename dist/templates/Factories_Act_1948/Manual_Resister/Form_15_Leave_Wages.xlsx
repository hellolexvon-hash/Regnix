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Factories_Act_1948_Compliance_Registers/forms/"/>
    </mc:Choice>
  </mc:AlternateContent>
  <xr:revisionPtr revIDLastSave="2" documentId="11_5758D3C0947ED48E6C4E8034595DCE3AA7CF474E" xr6:coauthVersionLast="47" xr6:coauthVersionMax="47" xr10:uidLastSave="{3ABFABD2-FB37-44EE-AEF6-76BD599B17C1}"/>
  <bookViews>
    <workbookView xWindow="-120" yWindow="-120" windowWidth="20730" windowHeight="11040" xr2:uid="{00000000-000D-0000-FFFF-FFFF00000000}"/>
  </bookViews>
  <sheets>
    <sheet name="Form 15" sheetId="1" r:id="rId1"/>
  </sheets>
  <definedNames>
    <definedName name="_xlnm._FilterDatabase" localSheetId="0" hidden="1">'Form 15'!$A$1:$N$51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G9" i="1" s="1"/>
  <c r="J9" i="1" s="1"/>
  <c r="E8" i="1"/>
  <c r="G8" i="1" s="1"/>
  <c r="J8" i="1" s="1"/>
  <c r="E7" i="1"/>
  <c r="G7" i="1" s="1"/>
  <c r="J7" i="1" s="1"/>
</calcChain>
</file>

<file path=xl/sharedStrings.xml><?xml version="1.0" encoding="utf-8"?>
<sst xmlns="http://schemas.openxmlformats.org/spreadsheetml/2006/main" count="36" uniqueCount="34">
  <si>
    <t>FORM NO. 15</t>
  </si>
  <si>
    <t>[See Rule 78-A] – Register of Leave with Wages</t>
  </si>
  <si>
    <t>FACTORIES ACT, 1948 | Section 79 | Maharashtra Factories Rules, 1963</t>
  </si>
  <si>
    <t>Sl.
No.</t>
  </si>
  <si>
    <t>Token
No.</t>
  </si>
  <si>
    <t>Name of
Worker</t>
  </si>
  <si>
    <t>Days Worked
(Previous
Calendar Year)</t>
  </si>
  <si>
    <t>Leave
Entitlement
(1/20 of days)</t>
  </si>
  <si>
    <t>Leave B/F
from Prev.
Year</t>
  </si>
  <si>
    <t>Total Leave
Due</t>
  </si>
  <si>
    <t>Leave Availed
(From – To)</t>
  </si>
  <si>
    <t>No. of
Days
Taken</t>
  </si>
  <si>
    <t>Leave
Balance</t>
  </si>
  <si>
    <t>Date of
Payment</t>
  </si>
  <si>
    <t>Wages
Paid (₹)</t>
  </si>
  <si>
    <t>Worker
Signature</t>
  </si>
  <si>
    <t>Remarks</t>
  </si>
  <si>
    <t>01/05 – 12/05/2024</t>
  </si>
  <si>
    <t>12/05/2024</t>
  </si>
  <si>
    <t>Sign</t>
  </si>
  <si>
    <t>TKN-002</t>
  </si>
  <si>
    <t>Priya Sharma</t>
  </si>
  <si>
    <t>15/06 – 21/06/2024</t>
  </si>
  <si>
    <t>21/06/2024</t>
  </si>
  <si>
    <t>TKN-003</t>
  </si>
  <si>
    <t>Mohammed Rafiq</t>
  </si>
  <si>
    <t>10/07 – 14/07/2024</t>
  </si>
  <si>
    <t>14/07/2024</t>
  </si>
  <si>
    <t>Medical Leave</t>
  </si>
  <si>
    <t>Note: Earned Leave = 1 day for every 20 days worked (Section 79 of the Factories Act, 1948)</t>
  </si>
  <si>
    <t>Signature of Manager / Occupier with Date &amp; Seal</t>
  </si>
  <si>
    <t>A</t>
  </si>
  <si>
    <t>AD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</si>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</sst>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9"/>
      <color rgb="FF122952"/>
      <name val="Arial"/>
    </font>
    <font>
      <b/>
      <sz val="9"/>
      <color rgb="FFFFFFFF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22952"/>
      </patternFill>
    </fill>
    <fill>
      <patternFill patternType="solid">
        <fgColor rgb="FF1E6E3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topLeftCell="J1" workbookViewId="0">
      <pane ySplit="6" topLeftCell="A46" activePane="bottomLeft" state="frozen"/>
      <selection pane="bottomLeft" activeCell="A51" sqref="A51:F51"/>
    </sheetView>
  </sheetViews>
  <sheetFormatPr defaultRowHeight="15" x14ac:dyDescent="0.25"/>
  <cols>
    <col min="1" max="1" width="6" customWidth="1"/>
    <col min="2" max="2" width="10" customWidth="1"/>
    <col min="3" max="3" width="22" customWidth="1"/>
    <col min="4" max="5" width="14" customWidth="1"/>
    <col min="6" max="7" width="12" customWidth="1"/>
    <col min="8" max="8" width="22" customWidth="1"/>
    <col min="9" max="10" width="10" customWidth="1"/>
    <col min="11" max="13" width="14" customWidth="1"/>
    <col min="14" max="14" width="16" customWidth="1"/>
  </cols>
  <sheetData>
    <row r="1" spans="1:14" ht="30" customHeight="1" x14ac:dyDescent="0.25">
      <c r="A1" s="9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1.95" customHeight="1" x14ac:dyDescent="0.25">
      <c r="A2" s="8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5.95" customHeight="1" x14ac:dyDescent="0.25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6" spans="1:14" ht="36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</row>
    <row r="7" spans="1:14" ht="20.100000000000001" customHeight="1" x14ac:dyDescent="0.25">
      <c r="A7" s="3" t="s">
        <v>31</v>
      </c>
      <c r="B7" s="3" t="s">
        <v>32</v>
      </c>
      <c r="C7" s="2" t="s">
        <v>33</v>
      </c>
      <c r="D7" s="2">
        <v>280</v>
      </c>
      <c r="E7" s="2">
        <f>INT(D7/20)</f>
        <v>14</v>
      </c>
      <c r="F7" s="2">
        <v>5</v>
      </c>
      <c r="G7" s="2">
        <f>E7+F7</f>
        <v>19</v>
      </c>
      <c r="H7" s="2" t="s">
        <v>17</v>
      </c>
      <c r="I7" s="2">
        <v>12</v>
      </c>
      <c r="J7" s="2">
        <f>G7-I7</f>
        <v>7</v>
      </c>
      <c r="K7" s="2" t="s">
        <v>18</v>
      </c>
      <c r="L7" s="2">
        <v>14400</v>
      </c>
      <c r="M7" s="2" t="s">
        <v>19</v>
      </c>
      <c r="N7" s="2"/>
    </row>
    <row r="8" spans="1:14" ht="20.100000000000001" customHeight="1" x14ac:dyDescent="0.25">
      <c r="A8" s="3">
        <v>2</v>
      </c>
      <c r="B8" s="3" t="s">
        <v>20</v>
      </c>
      <c r="C8" s="3" t="s">
        <v>21</v>
      </c>
      <c r="D8" s="3">
        <v>265</v>
      </c>
      <c r="E8" s="3">
        <f>INT(D8/20)</f>
        <v>13</v>
      </c>
      <c r="F8" s="3">
        <v>3</v>
      </c>
      <c r="G8" s="3">
        <f>E8+F8</f>
        <v>16</v>
      </c>
      <c r="H8" s="3" t="s">
        <v>22</v>
      </c>
      <c r="I8" s="3">
        <v>7</v>
      </c>
      <c r="J8" s="3">
        <f>G8-I8</f>
        <v>9</v>
      </c>
      <c r="K8" s="3" t="s">
        <v>23</v>
      </c>
      <c r="L8" s="3">
        <v>9800</v>
      </c>
      <c r="M8" s="3" t="s">
        <v>19</v>
      </c>
      <c r="N8" s="3"/>
    </row>
    <row r="9" spans="1:14" ht="20.100000000000001" customHeight="1" x14ac:dyDescent="0.25">
      <c r="A9" s="2">
        <v>3</v>
      </c>
      <c r="B9" s="2" t="s">
        <v>24</v>
      </c>
      <c r="C9" s="2" t="s">
        <v>25</v>
      </c>
      <c r="D9" s="2">
        <v>290</v>
      </c>
      <c r="E9" s="2">
        <f>INT(D9/20)</f>
        <v>14</v>
      </c>
      <c r="F9" s="2">
        <v>0</v>
      </c>
      <c r="G9" s="2">
        <f>E9+F9</f>
        <v>14</v>
      </c>
      <c r="H9" s="2" t="s">
        <v>26</v>
      </c>
      <c r="I9" s="2">
        <v>5</v>
      </c>
      <c r="J9" s="2">
        <f>G9-I9</f>
        <v>9</v>
      </c>
      <c r="K9" s="2" t="s">
        <v>27</v>
      </c>
      <c r="L9" s="2">
        <v>0</v>
      </c>
      <c r="M9" s="2" t="s">
        <v>19</v>
      </c>
      <c r="N9" s="2" t="s">
        <v>28</v>
      </c>
    </row>
    <row r="10" spans="1:14" ht="20.100000000000001" customHeight="1" x14ac:dyDescent="0.25">
      <c r="A10" s="3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0.100000000000001" customHeight="1" x14ac:dyDescent="0.25">
      <c r="A11" s="2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0.100000000000001" customHeight="1" x14ac:dyDescent="0.25">
      <c r="A12" s="3">
        <v>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0.100000000000001" customHeight="1" x14ac:dyDescent="0.25">
      <c r="A13" s="2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0.100000000000001" customHeight="1" x14ac:dyDescent="0.25">
      <c r="A14" s="3">
        <v>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0.100000000000001" customHeight="1" x14ac:dyDescent="0.25">
      <c r="A15" s="2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0.100000000000001" customHeight="1" x14ac:dyDescent="0.25">
      <c r="A16" s="3">
        <v>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20.100000000000001" customHeight="1" x14ac:dyDescent="0.25">
      <c r="A17" s="2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0.100000000000001" customHeight="1" x14ac:dyDescent="0.25">
      <c r="A18" s="3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0.100000000000001" customHeight="1" x14ac:dyDescent="0.25">
      <c r="A19" s="2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0.100000000000001" customHeight="1" x14ac:dyDescent="0.25">
      <c r="A20" s="3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0.100000000000001" customHeight="1" x14ac:dyDescent="0.25">
      <c r="A21" s="2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0.100000000000001" customHeight="1" x14ac:dyDescent="0.25">
      <c r="A22" s="3">
        <v>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20.100000000000001" customHeight="1" x14ac:dyDescent="0.25">
      <c r="A23" s="2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0.100000000000001" customHeight="1" x14ac:dyDescent="0.25">
      <c r="A24" s="3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0.100000000000001" customHeight="1" x14ac:dyDescent="0.25">
      <c r="A25" s="2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0.100000000000001" customHeight="1" x14ac:dyDescent="0.25">
      <c r="A26" s="3">
        <v>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0.100000000000001" customHeight="1" x14ac:dyDescent="0.25">
      <c r="A27" s="2">
        <v>21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0.100000000000001" customHeight="1" x14ac:dyDescent="0.25">
      <c r="A28" s="3">
        <v>22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20.100000000000001" customHeight="1" x14ac:dyDescent="0.25">
      <c r="A29" s="2">
        <v>23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20.100000000000001" customHeight="1" x14ac:dyDescent="0.25">
      <c r="A30" s="3">
        <v>24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20.100000000000001" customHeight="1" x14ac:dyDescent="0.25">
      <c r="A31" s="2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20.100000000000001" customHeight="1" x14ac:dyDescent="0.25">
      <c r="A32" s="3">
        <v>26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20.100000000000001" customHeight="1" x14ac:dyDescent="0.25">
      <c r="A33" s="2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20.100000000000001" customHeight="1" x14ac:dyDescent="0.25">
      <c r="A34" s="3">
        <v>28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20.100000000000001" customHeight="1" x14ac:dyDescent="0.25">
      <c r="A35" s="2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20.100000000000001" customHeight="1" x14ac:dyDescent="0.25">
      <c r="A36" s="3">
        <v>30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20.100000000000001" customHeight="1" x14ac:dyDescent="0.25">
      <c r="A37" s="2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20.100000000000001" customHeight="1" x14ac:dyDescent="0.25">
      <c r="A38" s="3">
        <v>32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20.100000000000001" customHeight="1" x14ac:dyDescent="0.25">
      <c r="A39" s="2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20.100000000000001" customHeight="1" x14ac:dyDescent="0.25">
      <c r="A40" s="3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0.100000000000001" customHeight="1" x14ac:dyDescent="0.25">
      <c r="A41" s="2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20.100000000000001" customHeight="1" x14ac:dyDescent="0.25">
      <c r="A42" s="3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20.100000000000001" customHeight="1" x14ac:dyDescent="0.25">
      <c r="A43" s="2">
        <v>37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20.100000000000001" customHeight="1" x14ac:dyDescent="0.25">
      <c r="A44" s="3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20.100000000000001" customHeight="1" x14ac:dyDescent="0.25">
      <c r="A45" s="2">
        <v>39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20.100000000000001" customHeight="1" x14ac:dyDescent="0.25">
      <c r="A46" s="3">
        <v>40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20.100000000000001" customHeight="1" x14ac:dyDescent="0.25">
      <c r="A47" s="2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20.100000000000001" customHeight="1" x14ac:dyDescent="0.25">
      <c r="A48" s="3">
        <v>42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20.100000000000001" customHeight="1" x14ac:dyDescent="0.25">
      <c r="A49" s="2">
        <v>43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1" spans="1:14" x14ac:dyDescent="0.25">
      <c r="A51" s="4" t="s">
        <v>29</v>
      </c>
      <c r="B51" s="5"/>
      <c r="C51" s="5"/>
      <c r="D51" s="5"/>
      <c r="E51" s="5"/>
      <c r="F51" s="5"/>
      <c r="J51" s="7" t="s">
        <v>30</v>
      </c>
      <c r="K51" s="5"/>
      <c r="L51" s="5"/>
      <c r="M51" s="5"/>
      <c r="N51" s="5"/>
    </row>
  </sheetData>
  <autoFilter ref="A1:N51" xr:uid="{00000000-0009-0000-0000-000000000000}"/>
  <mergeCells count="5">
    <mergeCell ref="A51:F51"/>
    <mergeCell ref="A3:N3"/>
    <mergeCell ref="J51:N5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2026-05-18T19:18:21Z</dcterms:created>
  <dcterms:modified xsi:type="dcterms:W3CDTF">2026-05-23T07:14:56Z</dcterms:modified>
</cp:coreProperties>
</file>