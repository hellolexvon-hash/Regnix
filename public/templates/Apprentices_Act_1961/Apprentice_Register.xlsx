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entic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<sst xmlns="http://schemas.openxmlformats.org/spreadsheetml/2006/main" count="37" uniqueCount="37">
  <si>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APPRENTICE REGISTER</t>
  </si>
  <si>
    <t xml:space="preserve">The Apprentices Act, 1961 – Section 18 | The Apprenticeship Rules, 1992 – Rule 13 | Form AA-1</t>
  </si>
  <si>
    <t xml:space="preserve">Establishment Name: </t>
  </si>
  <si>
    <t xml:space="preserve">OA</t>
  </si>
  <si>
    <t xml:space="preserve">Register No.:</t>
  </si>
  <si>
    <t xml:space="preserve">G</t>
  </si>
  <si>
    <t xml:space="preserve">Sl.
No.</t>
  </si>
  <si>
    <t xml:space="preserve">Apprentice
Full Name</t>
  </si>
  <si>
    <t xml:space="preserve">Registration
No.
(NAPS/BOAT)</t>
  </si>
  <si>
    <t xml:space="preserve">Date of
Birth</t>
  </si>
  <si>
    <t xml:space="preserve">Gender
(M/F/T)</t>
  </si>
  <si>
    <t xml:space="preserve">Category
(SC/ST/
OBC/GEN/
PwD)</t>
  </si>
  <si>
    <t xml:space="preserve">Educational
Qualification</t>
  </si>
  <si>
    <t xml:space="preserve">Trade /
Discipline</t>
  </si>
  <si>
    <t xml:space="preserve">Type of
Apprenticeship
(Trade/
Graduate/
Technician)</t>
  </si>
  <si>
    <t xml:space="preserve">Duration of
Apprenticeship
(Months)</t>
  </si>
  <si>
    <t xml:space="preserve">Date of
Commencement</t>
  </si>
  <si>
    <t xml:space="preserve">Date of
Completion
(Expected)</t>
  </si>
  <si>
    <t xml:space="preserve">Aadhar
No.</t>
  </si>
  <si>
    <t xml:space="preserve">Guardian /
Parent Name</t>
  </si>
  <si>
    <t xml:space="preserve">Contact
Number</t>
  </si>
  <si>
    <t xml:space="preserve">Address</t>
  </si>
  <si>
    <t xml:space="preserve">Current
Status
(Active/
Completed/
Terminated)</t>
  </si>
  <si>
    <t xml:space="preserve">Remarks</t>
  </si>
  <si>
    <t xml:space="preserve">APPRENTICE SUMMARY</t>
  </si>
  <si>
    <t xml:space="preserve">Total Apprentices Registered:</t>
  </si>
  <si>
    <t xml:space="preserve">Trade Apprentices:</t>
  </si>
  <si>
    <t xml:space="preserve">Graduate Apprentices:</t>
  </si>
  <si>
    <t xml:space="preserve">Technician Apprentices:</t>
  </si>
  <si>
    <t xml:space="preserve">Currently Active:</t>
  </si>
  <si>
    <t xml:space="preserve">Male:</t>
  </si>
  <si>
    <t xml:space="preserve">Female:</t>
  </si>
  <si>
    <t xml:space="preserve">SC/ST Category:</t>
  </si>
  <si>
    <t xml:space="preserve">Certified that this register is maintained as per Section 18 of the Apprentices Act, 1961 and Rule 13 of the Apprenticeship Rules, 1992. All apprentices are registered on the NAPS/BOAT portal.</t>
  </si>
  <si>
    <t xml:space="preserve">Apprenticeship Supervisor</t>
  </si>
  <si>
    <t xml:space="preserve">HR / Training Manager</t>
  </si>
  <si>
    <t xml:space="preserve">Authorised Signatory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</si>
</sst>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F1F1F"/>
      <name val="Arial"/>
      <family val="2"/>
      <charset val="1"/>
    </font>
    <font>
      <b val="true"/>
      <sz val="10"/>
      <color rgb="FF1F1F1F"/>
      <name val="Arial"/>
      <family val="2"/>
      <charset val="1"/>
    </font>
    <font>
      <i val="true"/>
      <sz val="8"/>
      <color rgb="FF1F1F1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A3052"/>
        <bgColor rgb="FF1F1F1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F2F2F2"/>
      </patternFill>
    </fill>
    <fill>
      <patternFill patternType="solid">
        <fgColor rgb="FFD9D9D9"/>
        <bgColor rgb="FFDEEA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19" activeCellId="0" sqref="5:1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3" t="s">
        <v>4</v>
      </c>
      <c r="K3" s="3"/>
      <c r="L3" s="3"/>
      <c r="M3" s="5" t="s">
        <v>5</v>
      </c>
      <c r="N3" s="5"/>
      <c r="O3" s="5"/>
      <c r="P3" s="5"/>
      <c r="Q3" s="5"/>
    </row>
    <row r="4" customFormat="false" ht="42" hidden="false" customHeight="tru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</row>
    <row r="5" s="10" customFormat="true" ht="19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7"/>
      <c r="O5" s="7"/>
      <c r="P5" s="7"/>
      <c r="Q5" s="9"/>
      <c r="R5" s="7"/>
    </row>
    <row r="6" s="10" customFormat="true" ht="19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9"/>
      <c r="R6" s="7"/>
    </row>
    <row r="7" s="10" customFormat="true" ht="19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9"/>
      <c r="R7" s="7"/>
    </row>
    <row r="8" s="10" customFormat="true" ht="19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9"/>
      <c r="R8" s="7"/>
    </row>
    <row r="9" s="10" customFormat="true" ht="19.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9"/>
      <c r="R9" s="7"/>
    </row>
    <row r="10" s="10" customFormat="true" ht="19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9"/>
      <c r="R10" s="7"/>
    </row>
    <row r="11" s="10" customFormat="true" ht="19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9"/>
      <c r="R11" s="7"/>
    </row>
    <row r="12" s="10" customFormat="true" ht="19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9"/>
      <c r="R12" s="7"/>
    </row>
    <row r="13" s="10" customFormat="true" ht="19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9"/>
      <c r="R13" s="7"/>
    </row>
    <row r="14" s="10" customFormat="true" ht="19.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7"/>
    </row>
    <row r="15" s="10" customFormat="tru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  <c r="R15" s="7"/>
    </row>
    <row r="16" s="10" customFormat="true" ht="19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9"/>
      <c r="R16" s="7"/>
    </row>
    <row r="17" s="10" customFormat="true" ht="19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9"/>
      <c r="R17" s="7"/>
    </row>
    <row r="18" s="10" customFormat="true" ht="19.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9"/>
      <c r="R18" s="7"/>
    </row>
    <row r="19" s="10" customFormat="true" ht="19.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9"/>
      <c r="R19" s="7"/>
    </row>
    <row r="21" customFormat="false" ht="18" hidden="false" customHeight="true" outlineLevel="0" collapsed="false">
      <c r="A21" s="11" t="s">
        <v>24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customFormat="false" ht="15.75" hidden="false" customHeight="true" outlineLevel="0" collapsed="false">
      <c r="A22" s="12" t="s">
        <v>25</v>
      </c>
      <c r="B22" s="12"/>
      <c r="C22" s="12"/>
      <c r="D22" s="12"/>
      <c r="E22" s="12"/>
      <c r="F22" s="12"/>
      <c r="G22" s="13" t="n">
        <f aca="false">COUNTA(B5:B19)</f>
        <v>0</v>
      </c>
    </row>
    <row r="23" customFormat="false" ht="15.75" hidden="false" customHeight="true" outlineLevel="0" collapsed="false">
      <c r="A23" s="12" t="s">
        <v>26</v>
      </c>
      <c r="B23" s="12"/>
      <c r="C23" s="12"/>
      <c r="D23" s="12"/>
      <c r="E23" s="12"/>
      <c r="F23" s="12"/>
      <c r="G23" s="13" t="n">
        <f aca="false">COUNTIF(I5:I19,"Trade Apprentice")</f>
        <v>0</v>
      </c>
    </row>
    <row r="24" customFormat="false" ht="15.75" hidden="false" customHeight="true" outlineLevel="0" collapsed="false">
      <c r="A24" s="12" t="s">
        <v>27</v>
      </c>
      <c r="B24" s="12"/>
      <c r="C24" s="12"/>
      <c r="D24" s="12"/>
      <c r="E24" s="12"/>
      <c r="F24" s="12"/>
      <c r="G24" s="13" t="n">
        <f aca="false">COUNTIF(I5:I19,"Graduate Apprentice")</f>
        <v>0</v>
      </c>
    </row>
    <row r="25" customFormat="false" ht="15.75" hidden="false" customHeight="true" outlineLevel="0" collapsed="false">
      <c r="A25" s="12" t="s">
        <v>28</v>
      </c>
      <c r="B25" s="12"/>
      <c r="C25" s="12"/>
      <c r="D25" s="12"/>
      <c r="E25" s="12"/>
      <c r="F25" s="12"/>
      <c r="G25" s="13" t="n">
        <f aca="false">COUNTIF(I5:I19,"Technician Apprentice")</f>
        <v>0</v>
      </c>
    </row>
    <row r="26" customFormat="false" ht="15.75" hidden="false" customHeight="true" outlineLevel="0" collapsed="false">
      <c r="A26" s="12" t="s">
        <v>29</v>
      </c>
      <c r="B26" s="12"/>
      <c r="C26" s="12"/>
      <c r="D26" s="12"/>
      <c r="E26" s="12"/>
      <c r="F26" s="12"/>
      <c r="G26" s="13" t="n">
        <f aca="false">COUNTIF(Q5:Q19,"Active")</f>
        <v>0</v>
      </c>
    </row>
    <row r="27" customFormat="false" ht="15.75" hidden="false" customHeight="true" outlineLevel="0" collapsed="false">
      <c r="A27" s="12" t="s">
        <v>30</v>
      </c>
      <c r="B27" s="12"/>
      <c r="C27" s="12"/>
      <c r="D27" s="12"/>
      <c r="E27" s="12"/>
      <c r="F27" s="12"/>
      <c r="G27" s="13" t="n">
        <f aca="false">COUNTIF(E5:E19,"M")</f>
        <v>0</v>
      </c>
    </row>
    <row r="28" customFormat="false" ht="15.75" hidden="false" customHeight="true" outlineLevel="0" collapsed="false">
      <c r="A28" s="12" t="s">
        <v>31</v>
      </c>
      <c r="B28" s="12"/>
      <c r="C28" s="12"/>
      <c r="D28" s="12"/>
      <c r="E28" s="12"/>
      <c r="F28" s="12"/>
      <c r="G28" s="13" t="n">
        <f aca="false">COUNTIF(E5:E19,"F")</f>
        <v>0</v>
      </c>
    </row>
    <row r="29" customFormat="false" ht="15.75" hidden="false" customHeight="true" outlineLevel="0" collapsed="false">
      <c r="A29" s="12" t="s">
        <v>32</v>
      </c>
      <c r="B29" s="12"/>
      <c r="C29" s="12"/>
      <c r="D29" s="12"/>
      <c r="E29" s="12"/>
      <c r="F29" s="12"/>
      <c r="G29" s="13" t="n">
        <f aca="false">COUNTIFS(F5:F19,"SC")+COUNTIFS(F5:F19,"ST")</f>
        <v>0</v>
      </c>
    </row>
    <row r="31" customFormat="false" ht="31.5" hidden="false" customHeight="true" outlineLevel="0" collapsed="false">
      <c r="A31" s="14" t="s">
        <v>33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3" customFormat="false" ht="19.5" hidden="false" customHeight="true" outlineLevel="0" collapsed="false">
      <c r="A33" s="15" t="s">
        <v>34</v>
      </c>
      <c r="B33" s="15"/>
      <c r="C33" s="15"/>
      <c r="D33" s="15"/>
      <c r="E33" s="15"/>
      <c r="F33" s="15"/>
      <c r="G33" s="15" t="s">
        <v>35</v>
      </c>
      <c r="H33" s="15"/>
      <c r="I33" s="15"/>
      <c r="J33" s="15"/>
      <c r="K33" s="15"/>
      <c r="L33" s="15"/>
      <c r="M33" s="15" t="s">
        <v>36</v>
      </c>
      <c r="N33" s="15"/>
      <c r="O33" s="15"/>
      <c r="P33" s="15"/>
      <c r="Q33" s="15"/>
      <c r="R33" s="15"/>
    </row>
  </sheetData>
  <mergeCells count="19">
    <mergeCell ref="A1:R1"/>
    <mergeCell ref="A2:R2"/>
    <mergeCell ref="A3:C3"/>
    <mergeCell ref="D3:I3"/>
    <mergeCell ref="J3:L3"/>
    <mergeCell ref="M3:Q3"/>
    <mergeCell ref="A21:R21"/>
    <mergeCell ref="A22:F22"/>
    <mergeCell ref="A23:F23"/>
    <mergeCell ref="A24:F24"/>
    <mergeCell ref="A25:F25"/>
    <mergeCell ref="A26:F26"/>
    <mergeCell ref="A27:F27"/>
    <mergeCell ref="A28:F28"/>
    <mergeCell ref="A29:F29"/>
    <mergeCell ref="A31:R31"/>
    <mergeCell ref="A33:F33"/>
    <mergeCell ref="G33:L33"/>
    <mergeCell ref="M33:R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2026-05-19T20:03:07Z</dcterms:created>
  <dc:creator>openpyxl</dc:creator>
  <dc:description/>
  <dc:language>en-US</dc:language>
  <cp:lastModifiedBy/>
  <dcterms:modified xsi:type="dcterms:W3CDTF">2026-07-01T16:11:29Z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