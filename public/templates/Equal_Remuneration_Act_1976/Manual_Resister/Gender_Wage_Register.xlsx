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der Wage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<sst xmlns="http://schemas.openxmlformats.org/spreadsheetml/2006/main" count="149" uniqueCount="102">
  <si>
    <t xml:space="preserve">GENDER WAGE REGISTER</t>
  </si>
  <si>
    <t xml:space="preserve">Equal Remuneration Act, 1976 / Code on Wages, 2019 – Rule 26 | Form D</t>
  </si>
  <si>
    <t xml:space="preserve">Establishment Name: </t>
  </si>
  <si>
    <t xml:space="preserve">Register No.: GWR-001</t>
  </si>
  <si>
    <t xml:space="preserve">Period: </t>
  </si>
  <si>
    <t xml:space="preserve">Prepared By: </t>
  </si>
  <si>
    <t xml:space="preserve">Verified By: </t>
  </si>
  <si>
    <t xml:space="preserve">Sl.
No.</t>
  </si>
  <si>
    <t xml:space="preserve">Employee Name</t>
  </si>
  <si>
    <t xml:space="preserve">Employee
Code</t>
  </si>
  <si>
    <t xml:space="preserve">Gender
(M/F/O)</t>
  </si>
  <si>
    <t xml:space="preserve">Designation /
Post</t>
  </si>
  <si>
    <t xml:space="preserve">Department</t>
  </si>
  <si>
    <t xml:space="preserve">Date of
Joining</t>
  </si>
  <si>
    <t xml:space="preserve">Basic Wages
(₹)</t>
  </si>
  <si>
    <t xml:space="preserve">DA
(₹)</t>
  </si>
  <si>
    <t xml:space="preserve">HRA
(₹)</t>
  </si>
  <si>
    <t xml:space="preserve">Other
Allowances
(₹)</t>
  </si>
  <si>
    <t xml:space="preserve">Gross Wages
(₹)</t>
  </si>
  <si>
    <t xml:space="preserve">Deductions
(₹)</t>
  </si>
  <si>
    <t xml:space="preserve">Net Wages
(₹)</t>
  </si>
  <si>
    <t xml:space="preserve">Wage
Parity
Status</t>
  </si>
  <si>
    <t xml:space="preserve">Remarks /
Variance Reason</t>
  </si>
  <si>
    <t xml:space="preserve">Anjali Sharma</t>
  </si>
  <si>
    <t xml:space="preserve">EMP001</t>
  </si>
  <si>
    <t xml:space="preserve">F</t>
  </si>
  <si>
    <t xml:space="preserve">Junior Engineer</t>
  </si>
  <si>
    <t xml:space="preserve">Engineering</t>
  </si>
  <si>
    <t xml:space="preserve">01-Apr-2023</t>
  </si>
  <si>
    <t xml:space="preserve">Equal</t>
  </si>
  <si>
    <t xml:space="preserve">Rahul Mehta</t>
  </si>
  <si>
    <t xml:space="preserve">EMP002</t>
  </si>
  <si>
    <t xml:space="preserve">M</t>
  </si>
  <si>
    <t xml:space="preserve">15-Mar-2023</t>
  </si>
  <si>
    <t xml:space="preserve">Priya Nair</t>
  </si>
  <si>
    <t xml:space="preserve">EMP003</t>
  </si>
  <si>
    <t xml:space="preserve">Sr. Analyst</t>
  </si>
  <si>
    <t xml:space="preserve">Finance</t>
  </si>
  <si>
    <t xml:space="preserve">10-Jan-2022</t>
  </si>
  <si>
    <t xml:space="preserve">Vikram Singh</t>
  </si>
  <si>
    <t xml:space="preserve">EMP004</t>
  </si>
  <si>
    <t xml:space="preserve">20-Feb-2022</t>
  </si>
  <si>
    <t xml:space="preserve">Meena Iyer</t>
  </si>
  <si>
    <t xml:space="preserve">EMP005</t>
  </si>
  <si>
    <t xml:space="preserve">Manager</t>
  </si>
  <si>
    <t xml:space="preserve">HR</t>
  </si>
  <si>
    <t xml:space="preserve">05-Jun-2020</t>
  </si>
  <si>
    <t xml:space="preserve">Suresh Kumar</t>
  </si>
  <si>
    <t xml:space="preserve">EMP006</t>
  </si>
  <si>
    <t xml:space="preserve">12-Aug-2020</t>
  </si>
  <si>
    <t xml:space="preserve">Kavitha Rao</t>
  </si>
  <si>
    <t xml:space="preserve">EMP007</t>
  </si>
  <si>
    <t xml:space="preserve">Asst. Manager</t>
  </si>
  <si>
    <t xml:space="preserve">Operations</t>
  </si>
  <si>
    <t xml:space="preserve">01-Nov-2021</t>
  </si>
  <si>
    <t xml:space="preserve">Ajay Patel</t>
  </si>
  <si>
    <t xml:space="preserve">EMP008</t>
  </si>
  <si>
    <t xml:space="preserve">15-Dec-2021</t>
  </si>
  <si>
    <t xml:space="preserve">Deepa Menon</t>
  </si>
  <si>
    <t xml:space="preserve">EMP009</t>
  </si>
  <si>
    <t xml:space="preserve">Executive</t>
  </si>
  <si>
    <t xml:space="preserve">IT</t>
  </si>
  <si>
    <t xml:space="preserve">20-Apr-2022</t>
  </si>
  <si>
    <t xml:space="preserve">Nitin Joshi</t>
  </si>
  <si>
    <t xml:space="preserve">EMP010</t>
  </si>
  <si>
    <t xml:space="preserve">22-Apr-2022</t>
  </si>
  <si>
    <t xml:space="preserve">Lakshmi Pillai</t>
  </si>
  <si>
    <t xml:space="preserve">EMP011</t>
  </si>
  <si>
    <t xml:space="preserve">Supervisor</t>
  </si>
  <si>
    <t xml:space="preserve">Production</t>
  </si>
  <si>
    <t xml:space="preserve">03-Jan-2019</t>
  </si>
  <si>
    <t xml:space="preserve">Ravi Sharma</t>
  </si>
  <si>
    <t xml:space="preserve">EMP012</t>
  </si>
  <si>
    <t xml:space="preserve">07-Jan-2019</t>
  </si>
  <si>
    <t xml:space="preserve">Sunita Gupta</t>
  </si>
  <si>
    <t xml:space="preserve">EMP013</t>
  </si>
  <si>
    <t xml:space="preserve">Clerk</t>
  </si>
  <si>
    <t xml:space="preserve">Admin</t>
  </si>
  <si>
    <t xml:space="preserve">11-Sep-2023</t>
  </si>
  <si>
    <t xml:space="preserve">Mohan Lal</t>
  </si>
  <si>
    <t xml:space="preserve">EMP014</t>
  </si>
  <si>
    <t xml:space="preserve">13-Sep-2023</t>
  </si>
  <si>
    <t xml:space="preserve">Aarti Desai</t>
  </si>
  <si>
    <t xml:space="preserve">EMP015</t>
  </si>
  <si>
    <t xml:space="preserve">Officer</t>
  </si>
  <si>
    <t xml:space="preserve">Legal</t>
  </si>
  <si>
    <t xml:space="preserve">25-Mar-2021</t>
  </si>
  <si>
    <t xml:space="preserve">SUMMARY – WAGE PARITY ANALYSIS</t>
  </si>
  <si>
    <t xml:space="preserve">Category</t>
  </si>
  <si>
    <t xml:space="preserve">No. of Male
Employees</t>
  </si>
  <si>
    <t xml:space="preserve">No. of Female
Employees</t>
  </si>
  <si>
    <t xml:space="preserve">Avg. Gross Wage
– Male (₹)</t>
  </si>
  <si>
    <t xml:space="preserve">Avg. Gross Wage
– Female (₹)</t>
  </si>
  <si>
    <t xml:space="preserve">Wage Gap
(₹)</t>
  </si>
  <si>
    <t xml:space="preserve">Wage Gap
(%)</t>
  </si>
  <si>
    <t xml:space="preserve">Compliance
Status</t>
  </si>
  <si>
    <t xml:space="preserve">Compliant</t>
  </si>
  <si>
    <t xml:space="preserve">All Grades</t>
  </si>
  <si>
    <t xml:space="preserve">Certified that the above register is maintained as per Section 8 of the Equal Remuneration Act, 1976 / Code on Wages, 2019 and that equal remuneration is being paid to male and female workers.</t>
  </si>
  <si>
    <t xml:space="preserve">Authorised Signatory</t>
  </si>
  <si>
    <t xml:space="preserve">HR Manager</t>
  </si>
  <si>
    <t xml:space="preserve">Date of Inspection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</si>
</sst>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8"/>
      <color rgb="FF1F1F1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1F1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1F1F1F"/>
      <name val="Arial"/>
      <family val="0"/>
      <charset val="1"/>
    </font>
    <font>
      <b val="true"/>
      <sz val="9"/>
      <color rgb="FF1F1F1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D9D9D9"/>
        <bgColor rgb="FFDEEA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14" min="7" style="0" width="12"/>
    <col collapsed="false" customWidth="true" hidden="false" outlineLevel="0" max="15" min="15" style="0" width="14"/>
    <col collapsed="false" customWidth="true" hidden="false" outlineLevel="0" max="16" min="16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3" t="s">
        <v>2</v>
      </c>
      <c r="B3" s="3"/>
      <c r="C3" s="3"/>
      <c r="D3" s="3" t="s">
        <v>3</v>
      </c>
      <c r="E3" s="3"/>
      <c r="F3" s="3"/>
      <c r="G3" s="3" t="s">
        <v>4</v>
      </c>
      <c r="H3" s="3"/>
      <c r="I3" s="3"/>
      <c r="J3" s="3" t="s">
        <v>5</v>
      </c>
      <c r="K3" s="3"/>
      <c r="L3" s="3"/>
      <c r="M3" s="3" t="s">
        <v>6</v>
      </c>
      <c r="N3" s="3"/>
      <c r="O3" s="3"/>
    </row>
    <row r="4" customFormat="false" ht="45" hidden="false" customHeight="true" outlineLevel="0" collapsed="false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</row>
    <row r="5" customFormat="false" ht="18" hidden="false" customHeight="true" outlineLevel="0" collapsed="false">
      <c r="A5" s="5" t="n">
        <v>1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6" t="n">
        <v>28000</v>
      </c>
      <c r="I5" s="6" t="n">
        <v>5600</v>
      </c>
      <c r="J5" s="6" t="n">
        <v>8400</v>
      </c>
      <c r="K5" s="6" t="n">
        <v>2000</v>
      </c>
      <c r="L5" s="6" t="n">
        <f aca="false">H6+I6+J6+K6</f>
        <v>44000</v>
      </c>
      <c r="M5" s="6" t="n">
        <v>2800</v>
      </c>
      <c r="N5" s="6" t="n">
        <f aca="false">L6-M6</f>
        <v>63700</v>
      </c>
      <c r="O5" s="7" t="s">
        <v>29</v>
      </c>
      <c r="P5" s="5"/>
    </row>
    <row r="6" customFormat="false" ht="18" hidden="false" customHeight="true" outlineLevel="0" collapsed="false">
      <c r="A6" s="8" t="n">
        <v>2</v>
      </c>
      <c r="B6" s="8" t="s">
        <v>30</v>
      </c>
      <c r="C6" s="8" t="s">
        <v>31</v>
      </c>
      <c r="D6" s="8" t="s">
        <v>32</v>
      </c>
      <c r="E6" s="8" t="s">
        <v>26</v>
      </c>
      <c r="F6" s="8" t="s">
        <v>27</v>
      </c>
      <c r="G6" s="8" t="s">
        <v>33</v>
      </c>
      <c r="H6" s="9" t="n">
        <v>28000</v>
      </c>
      <c r="I6" s="9" t="n">
        <v>5600</v>
      </c>
      <c r="J6" s="9" t="n">
        <v>8400</v>
      </c>
      <c r="K6" s="9" t="n">
        <v>2000</v>
      </c>
      <c r="L6" s="9" t="n">
        <f aca="false">H7+I7+J7+K7</f>
        <v>66500</v>
      </c>
      <c r="M6" s="9" t="n">
        <v>2800</v>
      </c>
      <c r="N6" s="9" t="n">
        <f aca="false">L7-M7</f>
        <v>62300</v>
      </c>
      <c r="O6" s="10" t="s">
        <v>29</v>
      </c>
      <c r="P6" s="8"/>
    </row>
    <row r="7" customFormat="false" ht="18" hidden="false" customHeight="true" outlineLevel="0" collapsed="false">
      <c r="A7" s="5" t="n">
        <v>3</v>
      </c>
      <c r="B7" s="5" t="s">
        <v>34</v>
      </c>
      <c r="C7" s="5" t="s">
        <v>35</v>
      </c>
      <c r="D7" s="5" t="s">
        <v>25</v>
      </c>
      <c r="E7" s="5" t="s">
        <v>36</v>
      </c>
      <c r="F7" s="5" t="s">
        <v>37</v>
      </c>
      <c r="G7" s="5" t="s">
        <v>38</v>
      </c>
      <c r="H7" s="6" t="n">
        <v>42000</v>
      </c>
      <c r="I7" s="6" t="n">
        <v>8400</v>
      </c>
      <c r="J7" s="6" t="n">
        <v>12600</v>
      </c>
      <c r="K7" s="6" t="n">
        <v>3500</v>
      </c>
      <c r="L7" s="6" t="n">
        <f aca="false">H8+I8+J8+K8</f>
        <v>66500</v>
      </c>
      <c r="M7" s="6" t="n">
        <v>4200</v>
      </c>
      <c r="N7" s="6" t="n">
        <f aca="false">L8-M8</f>
        <v>98300</v>
      </c>
      <c r="O7" s="7" t="s">
        <v>29</v>
      </c>
      <c r="P7" s="5"/>
    </row>
    <row r="8" customFormat="false" ht="18" hidden="false" customHeight="true" outlineLevel="0" collapsed="false">
      <c r="A8" s="8" t="n">
        <v>4</v>
      </c>
      <c r="B8" s="8" t="s">
        <v>39</v>
      </c>
      <c r="C8" s="8" t="s">
        <v>40</v>
      </c>
      <c r="D8" s="8" t="s">
        <v>32</v>
      </c>
      <c r="E8" s="8" t="s">
        <v>36</v>
      </c>
      <c r="F8" s="8" t="s">
        <v>37</v>
      </c>
      <c r="G8" s="8" t="s">
        <v>41</v>
      </c>
      <c r="H8" s="9" t="n">
        <v>42000</v>
      </c>
      <c r="I8" s="9" t="n">
        <v>8400</v>
      </c>
      <c r="J8" s="9" t="n">
        <v>12600</v>
      </c>
      <c r="K8" s="9" t="n">
        <v>3500</v>
      </c>
      <c r="L8" s="9" t="n">
        <f aca="false">H9+I9+J9+K9</f>
        <v>102500</v>
      </c>
      <c r="M8" s="9" t="n">
        <v>4200</v>
      </c>
      <c r="N8" s="9" t="n">
        <f aca="false">L9-M9</f>
        <v>96000</v>
      </c>
      <c r="O8" s="10" t="s">
        <v>29</v>
      </c>
      <c r="P8" s="8"/>
    </row>
    <row r="9" customFormat="false" ht="18" hidden="false" customHeight="true" outlineLevel="0" collapsed="false">
      <c r="A9" s="5" t="n">
        <v>5</v>
      </c>
      <c r="B9" s="5" t="s">
        <v>42</v>
      </c>
      <c r="C9" s="5" t="s">
        <v>43</v>
      </c>
      <c r="D9" s="5" t="s">
        <v>25</v>
      </c>
      <c r="E9" s="5" t="s">
        <v>44</v>
      </c>
      <c r="F9" s="5" t="s">
        <v>45</v>
      </c>
      <c r="G9" s="5" t="s">
        <v>46</v>
      </c>
      <c r="H9" s="6" t="n">
        <v>65000</v>
      </c>
      <c r="I9" s="6" t="n">
        <v>13000</v>
      </c>
      <c r="J9" s="6" t="n">
        <v>19500</v>
      </c>
      <c r="K9" s="6" t="n">
        <v>5000</v>
      </c>
      <c r="L9" s="6" t="n">
        <f aca="false">H10+I10+J10+K10</f>
        <v>102500</v>
      </c>
      <c r="M9" s="6" t="n">
        <v>6500</v>
      </c>
      <c r="N9" s="6" t="n">
        <f aca="false">L10-M10</f>
        <v>69500</v>
      </c>
      <c r="O9" s="7" t="s">
        <v>29</v>
      </c>
      <c r="P9" s="5"/>
    </row>
    <row r="10" customFormat="false" ht="18" hidden="false" customHeight="true" outlineLevel="0" collapsed="false">
      <c r="A10" s="8" t="n">
        <v>6</v>
      </c>
      <c r="B10" s="8" t="s">
        <v>47</v>
      </c>
      <c r="C10" s="8" t="s">
        <v>48</v>
      </c>
      <c r="D10" s="8" t="s">
        <v>32</v>
      </c>
      <c r="E10" s="8" t="s">
        <v>44</v>
      </c>
      <c r="F10" s="8" t="s">
        <v>45</v>
      </c>
      <c r="G10" s="8" t="s">
        <v>49</v>
      </c>
      <c r="H10" s="9" t="n">
        <v>65000</v>
      </c>
      <c r="I10" s="9" t="n">
        <v>13000</v>
      </c>
      <c r="J10" s="9" t="n">
        <v>19500</v>
      </c>
      <c r="K10" s="9" t="n">
        <v>5000</v>
      </c>
      <c r="L10" s="9" t="n">
        <f aca="false">H11+I11+J11+K11</f>
        <v>76000</v>
      </c>
      <c r="M10" s="9" t="n">
        <v>6500</v>
      </c>
      <c r="N10" s="9" t="n">
        <f aca="false">L11-M11</f>
        <v>71200</v>
      </c>
      <c r="O10" s="10" t="s">
        <v>29</v>
      </c>
      <c r="P10" s="8"/>
    </row>
    <row r="11" customFormat="false" ht="18" hidden="false" customHeight="true" outlineLevel="0" collapsed="false">
      <c r="A11" s="5" t="n">
        <v>7</v>
      </c>
      <c r="B11" s="5" t="s">
        <v>50</v>
      </c>
      <c r="C11" s="5" t="s">
        <v>51</v>
      </c>
      <c r="D11" s="5" t="s">
        <v>25</v>
      </c>
      <c r="E11" s="5" t="s">
        <v>52</v>
      </c>
      <c r="F11" s="5" t="s">
        <v>53</v>
      </c>
      <c r="G11" s="5" t="s">
        <v>54</v>
      </c>
      <c r="H11" s="6" t="n">
        <v>48000</v>
      </c>
      <c r="I11" s="6" t="n">
        <v>9600</v>
      </c>
      <c r="J11" s="6" t="n">
        <v>14400</v>
      </c>
      <c r="K11" s="6" t="n">
        <v>4000</v>
      </c>
      <c r="L11" s="6" t="n">
        <f aca="false">H12+I12+J12+K12</f>
        <v>76000</v>
      </c>
      <c r="M11" s="6" t="n">
        <v>4800</v>
      </c>
      <c r="N11" s="6" t="n">
        <f aca="false">L12-M12</f>
        <v>45700</v>
      </c>
      <c r="O11" s="7" t="s">
        <v>29</v>
      </c>
      <c r="P11" s="5"/>
    </row>
    <row r="12" customFormat="false" ht="18" hidden="false" customHeight="true" outlineLevel="0" collapsed="false">
      <c r="A12" s="8" t="n">
        <v>8</v>
      </c>
      <c r="B12" s="8" t="s">
        <v>55</v>
      </c>
      <c r="C12" s="8" t="s">
        <v>56</v>
      </c>
      <c r="D12" s="8" t="s">
        <v>32</v>
      </c>
      <c r="E12" s="8" t="s">
        <v>52</v>
      </c>
      <c r="F12" s="8" t="s">
        <v>53</v>
      </c>
      <c r="G12" s="8" t="s">
        <v>57</v>
      </c>
      <c r="H12" s="9" t="n">
        <v>48000</v>
      </c>
      <c r="I12" s="9" t="n">
        <v>9600</v>
      </c>
      <c r="J12" s="9" t="n">
        <v>14400</v>
      </c>
      <c r="K12" s="9" t="n">
        <v>4000</v>
      </c>
      <c r="L12" s="9" t="n">
        <f aca="false">H13+I13+J13+K13</f>
        <v>50500</v>
      </c>
      <c r="M12" s="9" t="n">
        <v>4800</v>
      </c>
      <c r="N12" s="9" t="n">
        <f aca="false">L13-M13</f>
        <v>47300</v>
      </c>
      <c r="O12" s="10" t="s">
        <v>29</v>
      </c>
      <c r="P12" s="8"/>
    </row>
    <row r="13" customFormat="false" ht="18" hidden="false" customHeight="true" outlineLevel="0" collapsed="false">
      <c r="A13" s="5" t="n">
        <v>9</v>
      </c>
      <c r="B13" s="5" t="s">
        <v>58</v>
      </c>
      <c r="C13" s="5" t="s">
        <v>59</v>
      </c>
      <c r="D13" s="5" t="s">
        <v>25</v>
      </c>
      <c r="E13" s="5" t="s">
        <v>60</v>
      </c>
      <c r="F13" s="5" t="s">
        <v>61</v>
      </c>
      <c r="G13" s="5" t="s">
        <v>62</v>
      </c>
      <c r="H13" s="6" t="n">
        <v>32000</v>
      </c>
      <c r="I13" s="6" t="n">
        <v>6400</v>
      </c>
      <c r="J13" s="6" t="n">
        <v>9600</v>
      </c>
      <c r="K13" s="6" t="n">
        <v>2500</v>
      </c>
      <c r="L13" s="6" t="n">
        <f aca="false">H14+I14+J14+K14</f>
        <v>50500</v>
      </c>
      <c r="M13" s="6" t="n">
        <v>3200</v>
      </c>
      <c r="N13" s="6" t="n">
        <f aca="false">L14-M14</f>
        <v>56800</v>
      </c>
      <c r="O13" s="7" t="s">
        <v>29</v>
      </c>
      <c r="P13" s="5"/>
    </row>
    <row r="14" customFormat="false" ht="18" hidden="false" customHeight="true" outlineLevel="0" collapsed="false">
      <c r="A14" s="8" t="n">
        <v>10</v>
      </c>
      <c r="B14" s="8" t="s">
        <v>63</v>
      </c>
      <c r="C14" s="8" t="s">
        <v>64</v>
      </c>
      <c r="D14" s="8" t="s">
        <v>32</v>
      </c>
      <c r="E14" s="8" t="s">
        <v>60</v>
      </c>
      <c r="F14" s="8" t="s">
        <v>61</v>
      </c>
      <c r="G14" s="8" t="s">
        <v>65</v>
      </c>
      <c r="H14" s="9" t="n">
        <v>32000</v>
      </c>
      <c r="I14" s="9" t="n">
        <v>6400</v>
      </c>
      <c r="J14" s="9" t="n">
        <v>9600</v>
      </c>
      <c r="K14" s="9" t="n">
        <v>2500</v>
      </c>
      <c r="L14" s="9" t="n">
        <f aca="false">H15+I15+J15+K15</f>
        <v>60000</v>
      </c>
      <c r="M14" s="9" t="n">
        <v>3200</v>
      </c>
      <c r="N14" s="9" t="n">
        <f aca="false">L15-M15</f>
        <v>56200</v>
      </c>
      <c r="O14" s="10" t="s">
        <v>29</v>
      </c>
      <c r="P14" s="8"/>
    </row>
    <row r="15" customFormat="false" ht="18" hidden="false" customHeight="true" outlineLevel="0" collapsed="false">
      <c r="A15" s="5" t="n">
        <v>11</v>
      </c>
      <c r="B15" s="5" t="s">
        <v>66</v>
      </c>
      <c r="C15" s="5" t="s">
        <v>67</v>
      </c>
      <c r="D15" s="5" t="s">
        <v>25</v>
      </c>
      <c r="E15" s="5" t="s">
        <v>68</v>
      </c>
      <c r="F15" s="5" t="s">
        <v>69</v>
      </c>
      <c r="G15" s="5" t="s">
        <v>70</v>
      </c>
      <c r="H15" s="6" t="n">
        <v>38000</v>
      </c>
      <c r="I15" s="6" t="n">
        <v>7600</v>
      </c>
      <c r="J15" s="6" t="n">
        <v>11400</v>
      </c>
      <c r="K15" s="6" t="n">
        <v>3000</v>
      </c>
      <c r="L15" s="6" t="n">
        <f aca="false">H16+I16+J16+K16</f>
        <v>60000</v>
      </c>
      <c r="M15" s="6" t="n">
        <v>3800</v>
      </c>
      <c r="N15" s="6" t="n">
        <f aca="false">L16-M16</f>
        <v>30700</v>
      </c>
      <c r="O15" s="7" t="s">
        <v>29</v>
      </c>
      <c r="P15" s="5"/>
    </row>
    <row r="16" customFormat="false" ht="18" hidden="false" customHeight="true" outlineLevel="0" collapsed="false">
      <c r="A16" s="8" t="n">
        <v>12</v>
      </c>
      <c r="B16" s="8" t="s">
        <v>71</v>
      </c>
      <c r="C16" s="8" t="s">
        <v>72</v>
      </c>
      <c r="D16" s="8" t="s">
        <v>32</v>
      </c>
      <c r="E16" s="8" t="s">
        <v>68</v>
      </c>
      <c r="F16" s="8" t="s">
        <v>69</v>
      </c>
      <c r="G16" s="8" t="s">
        <v>73</v>
      </c>
      <c r="H16" s="9" t="n">
        <v>38000</v>
      </c>
      <c r="I16" s="9" t="n">
        <v>7600</v>
      </c>
      <c r="J16" s="9" t="n">
        <v>11400</v>
      </c>
      <c r="K16" s="9" t="n">
        <v>3000</v>
      </c>
      <c r="L16" s="9" t="n">
        <f aca="false">H17+I17+J17+K17</f>
        <v>34500</v>
      </c>
      <c r="M16" s="9" t="n">
        <v>3800</v>
      </c>
      <c r="N16" s="9" t="n">
        <f aca="false">L17-M17</f>
        <v>32300</v>
      </c>
      <c r="O16" s="10" t="s">
        <v>29</v>
      </c>
      <c r="P16" s="8"/>
    </row>
    <row r="17" customFormat="false" ht="18" hidden="false" customHeight="true" outlineLevel="0" collapsed="false">
      <c r="A17" s="5" t="n">
        <v>13</v>
      </c>
      <c r="B17" s="5" t="s">
        <v>74</v>
      </c>
      <c r="C17" s="5" t="s">
        <v>75</v>
      </c>
      <c r="D17" s="5" t="s">
        <v>25</v>
      </c>
      <c r="E17" s="5" t="s">
        <v>76</v>
      </c>
      <c r="F17" s="5" t="s">
        <v>77</v>
      </c>
      <c r="G17" s="5" t="s">
        <v>78</v>
      </c>
      <c r="H17" s="6" t="n">
        <v>22000</v>
      </c>
      <c r="I17" s="6" t="n">
        <v>4400</v>
      </c>
      <c r="J17" s="6" t="n">
        <v>6600</v>
      </c>
      <c r="K17" s="6" t="n">
        <v>1500</v>
      </c>
      <c r="L17" s="6" t="n">
        <f aca="false">H18+I18+J18+K18</f>
        <v>34500</v>
      </c>
      <c r="M17" s="6" t="n">
        <v>2200</v>
      </c>
      <c r="N17" s="6" t="n">
        <f aca="false">L18-M18</f>
        <v>84800</v>
      </c>
      <c r="O17" s="7" t="s">
        <v>29</v>
      </c>
      <c r="P17" s="5"/>
    </row>
    <row r="18" customFormat="false" ht="18" hidden="false" customHeight="true" outlineLevel="0" collapsed="false">
      <c r="A18" s="8" t="n">
        <v>14</v>
      </c>
      <c r="B18" s="8" t="s">
        <v>79</v>
      </c>
      <c r="C18" s="8" t="s">
        <v>80</v>
      </c>
      <c r="D18" s="8" t="s">
        <v>32</v>
      </c>
      <c r="E18" s="8" t="s">
        <v>76</v>
      </c>
      <c r="F18" s="8" t="s">
        <v>77</v>
      </c>
      <c r="G18" s="8" t="s">
        <v>81</v>
      </c>
      <c r="H18" s="9" t="n">
        <v>22000</v>
      </c>
      <c r="I18" s="9" t="n">
        <v>4400</v>
      </c>
      <c r="J18" s="9" t="n">
        <v>6600</v>
      </c>
      <c r="K18" s="9" t="n">
        <v>1500</v>
      </c>
      <c r="L18" s="9" t="n">
        <f aca="false">H19+I19+J19+K19</f>
        <v>87000</v>
      </c>
      <c r="M18" s="9" t="n">
        <v>2200</v>
      </c>
      <c r="N18" s="9" t="n">
        <f aca="false">L19-M19</f>
        <v>-5500</v>
      </c>
      <c r="O18" s="10" t="s">
        <v>29</v>
      </c>
      <c r="P18" s="8"/>
    </row>
    <row r="19" customFormat="false" ht="18" hidden="false" customHeight="true" outlineLevel="0" collapsed="false">
      <c r="A19" s="5" t="n">
        <v>15</v>
      </c>
      <c r="B19" s="5" t="s">
        <v>82</v>
      </c>
      <c r="C19" s="5" t="s">
        <v>83</v>
      </c>
      <c r="D19" s="5" t="s">
        <v>25</v>
      </c>
      <c r="E19" s="5" t="s">
        <v>84</v>
      </c>
      <c r="F19" s="5" t="s">
        <v>85</v>
      </c>
      <c r="G19" s="5" t="s">
        <v>86</v>
      </c>
      <c r="H19" s="6" t="n">
        <v>55000</v>
      </c>
      <c r="I19" s="6" t="n">
        <v>11000</v>
      </c>
      <c r="J19" s="6" t="n">
        <v>16500</v>
      </c>
      <c r="K19" s="6" t="n">
        <v>4500</v>
      </c>
      <c r="L19" s="6" t="n">
        <f aca="false">H20+I20+J20+K20</f>
        <v>0</v>
      </c>
      <c r="M19" s="6" t="n">
        <v>5500</v>
      </c>
      <c r="N19" s="6" t="n">
        <f aca="false">L20-M20</f>
        <v>0</v>
      </c>
      <c r="O19" s="7" t="s">
        <v>29</v>
      </c>
      <c r="P19" s="5"/>
    </row>
    <row r="21" customFormat="false" ht="19.5" hidden="false" customHeight="true" outlineLevel="0" collapsed="false">
      <c r="A21" s="11" t="s">
        <v>87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customFormat="false" ht="39.75" hidden="false" customHeight="true" outlineLevel="0" collapsed="false">
      <c r="A22" s="12" t="s">
        <v>88</v>
      </c>
      <c r="B22" s="12" t="s">
        <v>89</v>
      </c>
      <c r="C22" s="12" t="s">
        <v>90</v>
      </c>
      <c r="D22" s="12" t="s">
        <v>91</v>
      </c>
      <c r="E22" s="12" t="s">
        <v>92</v>
      </c>
      <c r="F22" s="12" t="s">
        <v>93</v>
      </c>
      <c r="G22" s="12" t="s">
        <v>94</v>
      </c>
      <c r="H22" s="12" t="s">
        <v>95</v>
      </c>
    </row>
    <row r="23" customFormat="false" ht="18" hidden="false" customHeight="true" outlineLevel="0" collapsed="false">
      <c r="A23" s="13" t="s">
        <v>26</v>
      </c>
      <c r="B23" s="13" t="n">
        <v>1</v>
      </c>
      <c r="C23" s="13" t="n">
        <v>1</v>
      </c>
      <c r="D23" s="14" t="n">
        <f aca="false">AVERAGEIF(E6:E20,"Junior Engineer",L6:L20)</f>
        <v>66500</v>
      </c>
      <c r="E23" s="14" t="n">
        <f aca="false">AVERAGEIF(E6:E20,"Junior Engineer",L6:L20)</f>
        <v>66500</v>
      </c>
      <c r="F23" s="14" t="n">
        <f aca="false">D23-E23</f>
        <v>0</v>
      </c>
      <c r="G23" s="15" t="n">
        <f aca="false">IF(D23&gt;0,(D23-E23)/D23,0)</f>
        <v>0</v>
      </c>
      <c r="H23" s="16" t="s">
        <v>96</v>
      </c>
    </row>
    <row r="24" customFormat="false" ht="18" hidden="false" customHeight="true" outlineLevel="0" collapsed="false">
      <c r="A24" s="8" t="s">
        <v>36</v>
      </c>
      <c r="B24" s="8" t="n">
        <v>1</v>
      </c>
      <c r="C24" s="8" t="n">
        <v>1</v>
      </c>
      <c r="D24" s="9" t="n">
        <f aca="false">AVERAGEIF(E6:E20,"Sr. Analyst",L6:L20)</f>
        <v>84500</v>
      </c>
      <c r="E24" s="9" t="n">
        <f aca="false">AVERAGEIF(E6:E20,"Sr. Analyst",L6:L20)</f>
        <v>84500</v>
      </c>
      <c r="F24" s="9" t="n">
        <f aca="false">D24-E24</f>
        <v>0</v>
      </c>
      <c r="G24" s="17" t="n">
        <f aca="false">IF(D24&gt;0,(D24-E24)/D24,0)</f>
        <v>0</v>
      </c>
      <c r="H24" s="16" t="s">
        <v>96</v>
      </c>
    </row>
    <row r="25" customFormat="false" ht="18" hidden="false" customHeight="true" outlineLevel="0" collapsed="false">
      <c r="A25" s="13" t="s">
        <v>44</v>
      </c>
      <c r="B25" s="13" t="n">
        <v>1</v>
      </c>
      <c r="C25" s="13" t="n">
        <v>1</v>
      </c>
      <c r="D25" s="14" t="n">
        <f aca="false">AVERAGEIF(E6:E20,"Manager",L6:L20)</f>
        <v>89250</v>
      </c>
      <c r="E25" s="14" t="n">
        <f aca="false">AVERAGEIF(E6:E20,"Manager",L6:L20)</f>
        <v>89250</v>
      </c>
      <c r="F25" s="14" t="n">
        <f aca="false">D25-E25</f>
        <v>0</v>
      </c>
      <c r="G25" s="15" t="n">
        <f aca="false">IF(D25&gt;0,(D25-E25)/D25,0)</f>
        <v>0</v>
      </c>
      <c r="H25" s="16" t="s">
        <v>96</v>
      </c>
    </row>
    <row r="26" customFormat="false" ht="18" hidden="false" customHeight="true" outlineLevel="0" collapsed="false">
      <c r="A26" s="8" t="s">
        <v>97</v>
      </c>
      <c r="B26" s="8" t="n">
        <f aca="false">COUNTIF(D6:D20,"M")</f>
        <v>7</v>
      </c>
      <c r="C26" s="8" t="n">
        <f aca="false">COUNTIF(D6:D20,"F")</f>
        <v>7</v>
      </c>
      <c r="D26" s="9" t="n">
        <f aca="false">AVERAGEIF(D6:D20,"M",L6:L20)</f>
        <v>68142.8571428571</v>
      </c>
      <c r="E26" s="9" t="n">
        <f aca="false">AVERAGEIF(D6:D20,"F",L6:L20)</f>
        <v>55714.2857142857</v>
      </c>
      <c r="F26" s="9" t="n">
        <f aca="false">D26-E26</f>
        <v>12428.5714285714</v>
      </c>
      <c r="G26" s="17" t="n">
        <f aca="false">IF(D26&gt;0,(D26-E26)/D26,0)</f>
        <v>0.182389937106918</v>
      </c>
      <c r="H26" s="16" t="s">
        <v>96</v>
      </c>
    </row>
    <row r="28" customFormat="false" ht="30" hidden="false" customHeight="true" outlineLevel="0" collapsed="false">
      <c r="A28" s="18" t="s">
        <v>98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30" customFormat="false" ht="19.5" hidden="false" customHeight="true" outlineLevel="0" collapsed="false">
      <c r="A30" s="19" t="s">
        <v>99</v>
      </c>
      <c r="B30" s="19"/>
      <c r="C30" s="19"/>
      <c r="D30" s="19"/>
      <c r="E30" s="19"/>
      <c r="F30" s="19" t="s">
        <v>100</v>
      </c>
      <c r="G30" s="19"/>
      <c r="H30" s="19"/>
      <c r="I30" s="19"/>
      <c r="J30" s="19"/>
      <c r="K30" s="19" t="s">
        <v>101</v>
      </c>
      <c r="L30" s="19"/>
      <c r="M30" s="19"/>
      <c r="N30" s="19"/>
      <c r="O30" s="19"/>
    </row>
  </sheetData>
  <mergeCells count="12">
    <mergeCell ref="A1:P1"/>
    <mergeCell ref="A2:P2"/>
    <mergeCell ref="A3:C3"/>
    <mergeCell ref="D3:F3"/>
    <mergeCell ref="G3:I3"/>
    <mergeCell ref="J3:L3"/>
    <mergeCell ref="M3:O3"/>
    <mergeCell ref="A21:P21"/>
    <mergeCell ref="A28:P28"/>
    <mergeCell ref="A30:E30"/>
    <mergeCell ref="F30:J30"/>
    <mergeCell ref="K30:O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2026-05-19T19:57:50Z</dcterms:created>
  <dc:creator>openpyxl</dc:creator>
  <dc:description/>
  <dc:language>en-US</dc:language>
  <cp:lastModifiedBy/>
  <dcterms:modified xsi:type="dcterms:W3CDTF">2026-05-19T19:57:50Z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